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đại học\tin học cơ sở\"/>
    </mc:Choice>
  </mc:AlternateContent>
  <xr:revisionPtr revIDLastSave="0" documentId="13_ncr:1_{41343DD4-A3B4-4E3A-92DF-98D391CB5F6F}" xr6:coauthVersionLast="46" xr6:coauthVersionMax="46" xr10:uidLastSave="{00000000-0000-0000-0000-000000000000}"/>
  <bookViews>
    <workbookView xWindow="-120" yWindow="-120" windowWidth="20730" windowHeight="11160" xr2:uid="{334CAFE5-8C56-45F3-9907-CAE4818BCCD7}"/>
  </bookViews>
  <sheets>
    <sheet name="Sheet1" sheetId="1" r:id="rId1"/>
  </sheets>
  <definedNames>
    <definedName name="_xlnm._FilterDatabase" localSheetId="0" hidden="1">Sheet1!$H$4:$O$14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9" i="1"/>
  <c r="O7" i="1"/>
  <c r="O8" i="1"/>
  <c r="O11" i="1"/>
  <c r="O12" i="1"/>
  <c r="O13" i="1"/>
  <c r="O6" i="1"/>
  <c r="O5" i="1"/>
  <c r="N6" i="1"/>
  <c r="N7" i="1"/>
  <c r="N8" i="1"/>
  <c r="N9" i="1"/>
  <c r="N10" i="1"/>
  <c r="N11" i="1"/>
  <c r="N12" i="1"/>
  <c r="N13" i="1"/>
  <c r="N5" i="1"/>
  <c r="O18" i="1"/>
  <c r="K14" i="1"/>
  <c r="L6" i="1"/>
  <c r="L7" i="1"/>
  <c r="L8" i="1"/>
  <c r="L9" i="1"/>
  <c r="L10" i="1"/>
  <c r="L11" i="1"/>
  <c r="L12" i="1"/>
  <c r="L13" i="1"/>
  <c r="L5" i="1"/>
  <c r="L18" i="1" s="1"/>
  <c r="L20" i="1" l="1"/>
  <c r="L14" i="1"/>
  <c r="L19" i="1"/>
</calcChain>
</file>

<file path=xl/sharedStrings.xml><?xml version="1.0" encoding="utf-8"?>
<sst xmlns="http://schemas.openxmlformats.org/spreadsheetml/2006/main" count="65" uniqueCount="33">
  <si>
    <t>STT</t>
  </si>
  <si>
    <t>Họ và tên</t>
  </si>
  <si>
    <t>Địa chỉ</t>
  </si>
  <si>
    <t>Mã mặt 
hàng</t>
  </si>
  <si>
    <t>Số 
lượng</t>
  </si>
  <si>
    <t>Tổng thanh 
toán</t>
  </si>
  <si>
    <t>Ngày mua</t>
  </si>
  <si>
    <t>Ngày hết hạn 
bảo hành</t>
  </si>
  <si>
    <t>Ghi chú</t>
  </si>
  <si>
    <t>Lê Ngọc Long</t>
  </si>
  <si>
    <t>Nguyễn Sao Mai</t>
  </si>
  <si>
    <t>Nguyễn Ngọc Đức</t>
  </si>
  <si>
    <t>Trần Hải Yến</t>
  </si>
  <si>
    <t>Lê Minh Ngọc</t>
  </si>
  <si>
    <t>Đào Minh Chung</t>
  </si>
  <si>
    <t>Nguyễn Văn An</t>
  </si>
  <si>
    <t>Đào Thị Hồng</t>
  </si>
  <si>
    <t>Phạm Việt Thành</t>
  </si>
  <si>
    <t>Hoàng Mai</t>
  </si>
  <si>
    <t>Hoàn Kiếm</t>
  </si>
  <si>
    <t>Gia Lâm</t>
  </si>
  <si>
    <t>KC-740</t>
  </si>
  <si>
    <t>KC-748</t>
  </si>
  <si>
    <t>KC-742</t>
  </si>
  <si>
    <t>Mã MH</t>
  </si>
  <si>
    <t>Giá (USD)</t>
  </si>
  <si>
    <t>Bảo hành
(tháng)</t>
  </si>
  <si>
    <t>Tổng hợp</t>
  </si>
  <si>
    <t>Tổng tiền
thanh toán</t>
  </si>
  <si>
    <t>Trung bình cộng</t>
  </si>
  <si>
    <t>Tổng số lượng
hàng bán</t>
  </si>
  <si>
    <t>Ngày hiện tại</t>
  </si>
  <si>
    <t>Hết hạn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</si>
</sst>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\-dd\-yy"/>
  </numFmts>
  <fonts count="4" x14ac:knownFonts="1">
    <font>
      <sz val="11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8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/>
    <xf numFmtId="0" fontId="1" fillId="0" borderId="0" xfId="0" applyFont="1" applyAlignment="1">
      <alignment wrapText="1"/>
    </xf>
    <xf numFmtId="166" fontId="1" fillId="0" borderId="1" xfId="0" applyNumberFormat="1" applyFont="1" applyBorder="1" applyAlignment="1">
      <alignment horizontal="right"/>
    </xf>
    <xf numFmtId="166" fontId="1" fillId="0" borderId="1" xfId="0" quotePrefix="1" applyNumberFormat="1" applyFont="1" applyBorder="1" applyAlignment="1">
      <alignment horizontal="right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C419-D7A7-4EFE-8030-EFE82D10846B}">
  <dimension ref="G4:P23"/>
  <sheetViews>
    <sheetView tabSelected="1" topLeftCell="H10" workbookViewId="0">
      <selection activeCell="P18" sqref="P18"/>
    </sheetView>
  </sheetViews>
  <sheetFormatPr defaultColWidth="16.5" defaultRowHeight="18.75" x14ac:dyDescent="0.3"/>
  <cols>
    <col min="1" max="7" width="16.5" style="1"/>
    <col min="8" max="8" width="18.5" style="1" customWidth="1"/>
    <col min="9" max="14" width="16.5" style="1"/>
    <col min="15" max="15" width="20.375" style="1" customWidth="1"/>
    <col min="16" max="16384" width="16.5" style="1"/>
  </cols>
  <sheetData>
    <row r="4" spans="7:16" ht="37.5" x14ac:dyDescent="0.3">
      <c r="G4" s="8" t="s">
        <v>0</v>
      </c>
      <c r="H4" s="8" t="s">
        <v>1</v>
      </c>
      <c r="I4" s="8" t="s">
        <v>2</v>
      </c>
      <c r="J4" s="9" t="s">
        <v>3</v>
      </c>
      <c r="K4" s="9" t="s">
        <v>4</v>
      </c>
      <c r="L4" s="9" t="s">
        <v>5</v>
      </c>
      <c r="M4" s="8" t="s">
        <v>6</v>
      </c>
      <c r="N4" s="9" t="s">
        <v>7</v>
      </c>
      <c r="O4" s="8" t="s">
        <v>8</v>
      </c>
      <c r="P4" s="14" t="s">
        <v>31</v>
      </c>
    </row>
    <row r="5" spans="7:16" x14ac:dyDescent="0.3">
      <c r="G5" s="2">
        <v>1</v>
      </c>
      <c r="H5" s="2" t="s">
        <v>9</v>
      </c>
      <c r="I5" s="2" t="s">
        <v>18</v>
      </c>
      <c r="J5" s="2" t="s">
        <v>21</v>
      </c>
      <c r="K5" s="3">
        <v>1</v>
      </c>
      <c r="L5" s="2">
        <f>VLOOKUP(J5,$G$17:$I$20,2,0)*K5</f>
        <v>39</v>
      </c>
      <c r="M5" s="13">
        <v>39954</v>
      </c>
      <c r="N5" s="10">
        <f>DATE(1,VLOOKUP(J5,$G$17:$I$20,3,0)-12,0)+DATE(YEAR(M5),MONTH(M5),DAY(M5))</f>
        <v>40471</v>
      </c>
      <c r="O5" s="2" t="str">
        <f>IF(J5="KC-740",IF((P5-M5)&gt;=18,"Hết hạn bảo hành","Còn bảo hành"))</f>
        <v>Hết hạn bảo hành</v>
      </c>
      <c r="P5" s="10">
        <v>44652</v>
      </c>
    </row>
    <row r="6" spans="7:16" x14ac:dyDescent="0.3">
      <c r="G6" s="2">
        <v>2</v>
      </c>
      <c r="H6" s="2" t="s">
        <v>10</v>
      </c>
      <c r="I6" s="2" t="s">
        <v>19</v>
      </c>
      <c r="J6" s="2" t="s">
        <v>23</v>
      </c>
      <c r="K6" s="3">
        <v>3</v>
      </c>
      <c r="L6" s="2">
        <f t="shared" ref="L6:L13" si="0">VLOOKUP(J6,$G$17:$I$20,2,0)*K6</f>
        <v>138</v>
      </c>
      <c r="M6" s="13">
        <v>39850</v>
      </c>
      <c r="N6" s="10">
        <f t="shared" ref="N6:N13" si="1">DATE(1,VLOOKUP(J6,$G$17:$I$20,3,0)-12,0)+DATE(YEAR(M6),MONTH(M6),DAY(M6))</f>
        <v>40185</v>
      </c>
      <c r="O6" s="2" t="str">
        <f>IF(J6="KC-742",IF((P6-M6)&gt;=12,"Hết hạn bảo hành","Còn bảo hành"))</f>
        <v>Hết hạn bảo hành</v>
      </c>
      <c r="P6" s="10">
        <v>44652</v>
      </c>
    </row>
    <row r="7" spans="7:16" x14ac:dyDescent="0.3">
      <c r="G7" s="2">
        <v>3</v>
      </c>
      <c r="H7" s="2" t="s">
        <v>11</v>
      </c>
      <c r="I7" s="2" t="s">
        <v>20</v>
      </c>
      <c r="J7" s="2" t="s">
        <v>22</v>
      </c>
      <c r="K7" s="3">
        <v>1</v>
      </c>
      <c r="L7" s="2">
        <f t="shared" si="0"/>
        <v>81</v>
      </c>
      <c r="M7" s="12">
        <v>39937</v>
      </c>
      <c r="N7" s="10">
        <f t="shared" si="1"/>
        <v>40637</v>
      </c>
      <c r="O7" s="2" t="str">
        <f>IF(J7="KC-748",IF((P7-M7)&gt;=24,"Hết hạn bảo hành","Còn bảo hành"))</f>
        <v>Hết hạn bảo hành</v>
      </c>
      <c r="P7" s="10">
        <v>44652</v>
      </c>
    </row>
    <row r="8" spans="7:16" x14ac:dyDescent="0.3">
      <c r="G8" s="2">
        <v>4</v>
      </c>
      <c r="H8" s="2" t="s">
        <v>12</v>
      </c>
      <c r="I8" s="2" t="s">
        <v>19</v>
      </c>
      <c r="J8" s="2" t="s">
        <v>23</v>
      </c>
      <c r="K8" s="3">
        <v>2</v>
      </c>
      <c r="L8" s="2">
        <f t="shared" si="0"/>
        <v>92</v>
      </c>
      <c r="M8" s="12">
        <v>39977</v>
      </c>
      <c r="N8" s="10">
        <f t="shared" si="1"/>
        <v>40312</v>
      </c>
      <c r="O8" s="2" t="str">
        <f t="shared" ref="O8:O13" si="2">IF(J8="KC-742",IF((P8-M8)&gt;=12,"Hết hạn bảo hành","Còn bảo hành"))</f>
        <v>Hết hạn bảo hành</v>
      </c>
      <c r="P8" s="10">
        <v>44652</v>
      </c>
    </row>
    <row r="9" spans="7:16" x14ac:dyDescent="0.3">
      <c r="G9" s="2">
        <v>5</v>
      </c>
      <c r="H9" s="2" t="s">
        <v>13</v>
      </c>
      <c r="I9" s="2" t="s">
        <v>20</v>
      </c>
      <c r="J9" s="2" t="s">
        <v>22</v>
      </c>
      <c r="K9" s="3">
        <v>1</v>
      </c>
      <c r="L9" s="2">
        <f t="shared" si="0"/>
        <v>81</v>
      </c>
      <c r="M9" s="12">
        <v>39850</v>
      </c>
      <c r="N9" s="10">
        <f t="shared" si="1"/>
        <v>40550</v>
      </c>
      <c r="O9" s="2" t="str">
        <f>IF(J9="KC-748",IF((P9-M9)&gt;=12,"Hết hạn bảo hành","Còn bảo hành"))</f>
        <v>Hết hạn bảo hành</v>
      </c>
      <c r="P9" s="10">
        <v>44652</v>
      </c>
    </row>
    <row r="10" spans="7:16" x14ac:dyDescent="0.3">
      <c r="G10" s="2">
        <v>6</v>
      </c>
      <c r="H10" s="2" t="s">
        <v>14</v>
      </c>
      <c r="I10" s="2" t="s">
        <v>19</v>
      </c>
      <c r="J10" s="2" t="s">
        <v>21</v>
      </c>
      <c r="K10" s="3">
        <v>3</v>
      </c>
      <c r="L10" s="2">
        <f t="shared" si="0"/>
        <v>117</v>
      </c>
      <c r="M10" s="12">
        <v>39937</v>
      </c>
      <c r="N10" s="10">
        <f t="shared" si="1"/>
        <v>40454</v>
      </c>
      <c r="O10" s="2" t="b">
        <f>IF(J10="KC-748",IF((P10-M10)&gt;=24,"Hết hạn bảo hành","Còn bảo hành"))</f>
        <v>0</v>
      </c>
      <c r="P10" s="10">
        <v>44652</v>
      </c>
    </row>
    <row r="11" spans="7:16" x14ac:dyDescent="0.3">
      <c r="G11" s="2">
        <v>7</v>
      </c>
      <c r="H11" s="2" t="s">
        <v>15</v>
      </c>
      <c r="I11" s="2" t="s">
        <v>20</v>
      </c>
      <c r="J11" s="2" t="s">
        <v>23</v>
      </c>
      <c r="K11" s="3">
        <v>1</v>
      </c>
      <c r="L11" s="2">
        <f t="shared" si="0"/>
        <v>46</v>
      </c>
      <c r="M11" s="12">
        <v>39954</v>
      </c>
      <c r="N11" s="10">
        <f t="shared" si="1"/>
        <v>40289</v>
      </c>
      <c r="O11" s="2" t="str">
        <f t="shared" si="2"/>
        <v>Hết hạn bảo hành</v>
      </c>
      <c r="P11" s="10">
        <v>44652</v>
      </c>
    </row>
    <row r="12" spans="7:16" x14ac:dyDescent="0.3">
      <c r="G12" s="2">
        <v>8</v>
      </c>
      <c r="H12" s="2" t="s">
        <v>16</v>
      </c>
      <c r="I12" s="2" t="s">
        <v>18</v>
      </c>
      <c r="J12" s="2" t="s">
        <v>23</v>
      </c>
      <c r="K12" s="3">
        <v>2</v>
      </c>
      <c r="L12" s="2">
        <f t="shared" si="0"/>
        <v>92</v>
      </c>
      <c r="M12" s="12">
        <v>39850</v>
      </c>
      <c r="N12" s="10">
        <f t="shared" si="1"/>
        <v>40185</v>
      </c>
      <c r="O12" s="2" t="str">
        <f t="shared" si="2"/>
        <v>Hết hạn bảo hành</v>
      </c>
      <c r="P12" s="10">
        <v>44652</v>
      </c>
    </row>
    <row r="13" spans="7:16" x14ac:dyDescent="0.3">
      <c r="G13" s="2">
        <v>9</v>
      </c>
      <c r="H13" s="2" t="s">
        <v>17</v>
      </c>
      <c r="I13" s="2" t="s">
        <v>20</v>
      </c>
      <c r="J13" s="2" t="s">
        <v>22</v>
      </c>
      <c r="K13" s="3">
        <v>1</v>
      </c>
      <c r="L13" s="2">
        <f t="shared" si="0"/>
        <v>81</v>
      </c>
      <c r="M13" s="12">
        <v>39937</v>
      </c>
      <c r="N13" s="10">
        <f t="shared" si="1"/>
        <v>40637</v>
      </c>
      <c r="O13" s="2" t="b">
        <f t="shared" si="2"/>
        <v>0</v>
      </c>
      <c r="P13" s="10">
        <v>44652</v>
      </c>
    </row>
    <row r="14" spans="7:16" x14ac:dyDescent="0.3">
      <c r="G14" s="5" t="s">
        <v>29</v>
      </c>
      <c r="H14" s="6"/>
      <c r="I14" s="6"/>
      <c r="J14" s="7"/>
      <c r="K14" s="2">
        <f>ROUND(AVERAGE(K5:K13),2)</f>
        <v>1.67</v>
      </c>
      <c r="L14" s="2">
        <f>ROUND(AVERAGE(L5:L13),2)</f>
        <v>85.22</v>
      </c>
      <c r="M14" s="2"/>
      <c r="N14" s="2"/>
      <c r="O14" s="2"/>
      <c r="P14" s="10"/>
    </row>
    <row r="16" spans="7:16" x14ac:dyDescent="0.3">
      <c r="K16" s="1" t="s">
        <v>27</v>
      </c>
    </row>
    <row r="17" spans="7:16" ht="37.5" x14ac:dyDescent="0.3">
      <c r="G17" s="8" t="s">
        <v>24</v>
      </c>
      <c r="H17" s="8" t="s">
        <v>25</v>
      </c>
      <c r="I17" s="9" t="s">
        <v>26</v>
      </c>
      <c r="K17" s="8" t="s">
        <v>24</v>
      </c>
      <c r="L17" s="9" t="s">
        <v>28</v>
      </c>
      <c r="N17" s="11" t="s">
        <v>30</v>
      </c>
    </row>
    <row r="18" spans="7:16" x14ac:dyDescent="0.3">
      <c r="G18" s="2" t="s">
        <v>21</v>
      </c>
      <c r="H18" s="4">
        <v>39</v>
      </c>
      <c r="I18" s="2">
        <v>18</v>
      </c>
      <c r="K18" s="2" t="s">
        <v>21</v>
      </c>
      <c r="L18" s="2">
        <f>SUMIF($J$5:$J$13,K18,L5:L13)</f>
        <v>156</v>
      </c>
      <c r="N18" s="1" t="s">
        <v>22</v>
      </c>
      <c r="O18" s="1">
        <f>SUMIFS(K5:K13,J5:J13,"KC-748",M5:M13,"06-02-09")</f>
        <v>1</v>
      </c>
    </row>
    <row r="19" spans="7:16" x14ac:dyDescent="0.3">
      <c r="G19" s="2" t="s">
        <v>23</v>
      </c>
      <c r="H19" s="2">
        <v>46</v>
      </c>
      <c r="I19" s="2">
        <v>12</v>
      </c>
      <c r="K19" s="2" t="s">
        <v>23</v>
      </c>
      <c r="L19" s="2">
        <f t="shared" ref="L19:L20" si="3">SUMIF($J$5:$J$13,K19,L6:L14)</f>
        <v>335</v>
      </c>
    </row>
    <row r="20" spans="7:16" x14ac:dyDescent="0.3">
      <c r="G20" s="2" t="s">
        <v>22</v>
      </c>
      <c r="H20" s="2">
        <v>81</v>
      </c>
      <c r="I20" s="2">
        <v>24</v>
      </c>
      <c r="K20" s="2" t="s">
        <v>22</v>
      </c>
      <c r="L20" s="2">
        <f t="shared" si="3"/>
        <v>127</v>
      </c>
    </row>
    <row r="22" spans="7:16" ht="37.5" x14ac:dyDescent="0.3">
      <c r="H22" s="8" t="s">
        <v>1</v>
      </c>
      <c r="I22" s="8" t="s">
        <v>2</v>
      </c>
      <c r="J22" s="9" t="s">
        <v>3</v>
      </c>
      <c r="K22" s="9" t="s">
        <v>4</v>
      </c>
      <c r="L22" s="9" t="s">
        <v>5</v>
      </c>
      <c r="M22" s="8" t="s">
        <v>6</v>
      </c>
      <c r="N22" s="9" t="s">
        <v>7</v>
      </c>
      <c r="O22" s="8" t="s">
        <v>8</v>
      </c>
      <c r="P22" s="14" t="s">
        <v>31</v>
      </c>
    </row>
    <row r="23" spans="7:16" x14ac:dyDescent="0.3">
      <c r="H23" s="2" t="s">
        <v>12</v>
      </c>
      <c r="I23" s="2" t="s">
        <v>19</v>
      </c>
      <c r="J23" s="2" t="s">
        <v>23</v>
      </c>
      <c r="K23" s="3">
        <v>2</v>
      </c>
      <c r="L23" s="2">
        <v>92</v>
      </c>
      <c r="M23" s="12">
        <v>39977</v>
      </c>
      <c r="N23" s="10">
        <v>40312</v>
      </c>
      <c r="O23" s="2" t="s">
        <v>32</v>
      </c>
      <c r="P23" s="10">
        <v>44652</v>
      </c>
    </row>
  </sheetData>
  <mergeCells count="1">
    <mergeCell ref="G14:J14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2022-01-04T00:35:51Z</dcterms:created>
  <dcterms:modified xsi:type="dcterms:W3CDTF">2022-01-04T02:27:25Z</dcterms:modified>
</cp:coreProperties>
</file>