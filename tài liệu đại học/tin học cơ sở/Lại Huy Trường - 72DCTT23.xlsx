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7207DE-FAE3-463C-B06F-284E7895F246}" xr6:coauthVersionLast="46" xr6:coauthVersionMax="46" xr10:uidLastSave="{00000000-0000-0000-0000-000000000000}"/>
  <bookViews>
    <workbookView xWindow="-120" yWindow="-120" windowWidth="20730" windowHeight="11160" activeTab="5" xr2:uid="{00000000-000D-0000-FFFF-FFFF00000000}"/>
  </bookViews>
  <sheets>
    <sheet name="Bài4" sheetId="3" r:id="rId1"/>
    <sheet name="Bài5" sheetId="2" r:id="rId2"/>
    <sheet name="Bài6" sheetId="1" r:id="rId3"/>
    <sheet name="Bài7" sheetId="4" r:id="rId4"/>
    <sheet name="Bài8" sheetId="5" r:id="rId5"/>
    <sheet name="Bài9" sheetId="6" r:id="rId6"/>
    <sheet name="Bài10" sheetId="7" r:id="rId7"/>
  </sheets>
  <definedNames>
    <definedName name="_xlnm._FilterDatabase" localSheetId="6" hidden="1">Bài10!$B$4:$M$10</definedName>
    <definedName name="_xlnm._FilterDatabase" localSheetId="1" hidden="1">Bài5!$B$8:$J$13</definedName>
    <definedName name="_xlnm._FilterDatabase" localSheetId="4" hidden="1">Bài8!$B$4:$L$14</definedName>
    <definedName name="_xlnm._FilterDatabase" localSheetId="5" hidden="1">Bài9!$B$5:$M$11</definedName>
    <definedName name="_xlnm.Criteria" localSheetId="6">Bài10!$O$8:$O$10</definedName>
    <definedName name="_xlnm.Criteria" localSheetId="1">Bài5!$N$9:$N$10</definedName>
    <definedName name="_xlnm.Criteria" localSheetId="4">Bài8!$N$8:$N$9</definedName>
    <definedName name="_xlnm.Criteria" localSheetId="5">Bài9!$O$7:$O$8</definedName>
    <definedName name="_xlnm.Extract" localSheetId="6">Bài10!$B$22:$M$22</definedName>
    <definedName name="_xlnm.Extract" localSheetId="1">Bài5!$B$15:$J$15</definedName>
    <definedName name="_xlnm.Extract" localSheetId="4">Bài8!$B$26:$L$26</definedName>
    <definedName name="_xlnm.Extract" localSheetId="5">Bài9!$B$22:$M$22</definedName>
  </definedNames>
  <calcPr calcId="181029"/>
</workbook>
</file>

<file path=xl/calcChain.xml><?xml version="1.0" encoding="utf-8"?>
<calcChain xmlns="http://schemas.openxmlformats.org/spreadsheetml/2006/main">
  <c r="I18" i="7" l="1"/>
  <c r="L6" i="7"/>
  <c r="L7" i="7"/>
  <c r="L8" i="7"/>
  <c r="L9" i="7"/>
  <c r="L10" i="7"/>
  <c r="L5" i="7"/>
  <c r="I10" i="7"/>
  <c r="H10" i="7"/>
  <c r="I9" i="7"/>
  <c r="H9" i="7"/>
  <c r="J9" i="7" s="1"/>
  <c r="M9" i="7" s="1"/>
  <c r="I8" i="7"/>
  <c r="J8" i="7" s="1"/>
  <c r="M8" i="7" s="1"/>
  <c r="H8" i="7"/>
  <c r="I7" i="7"/>
  <c r="H7" i="7"/>
  <c r="J7" i="7" s="1"/>
  <c r="I6" i="7"/>
  <c r="H6" i="7"/>
  <c r="I5" i="7"/>
  <c r="H5" i="7"/>
  <c r="J5" i="7" s="1"/>
  <c r="K5" i="7" s="1"/>
  <c r="J18" i="6"/>
  <c r="J15" i="6"/>
  <c r="J11" i="6"/>
  <c r="G11" i="6"/>
  <c r="F11" i="6"/>
  <c r="E11" i="6"/>
  <c r="H11" i="6" s="1"/>
  <c r="J10" i="6"/>
  <c r="G10" i="6"/>
  <c r="F10" i="6"/>
  <c r="E10" i="6"/>
  <c r="H10" i="6" s="1"/>
  <c r="J9" i="6"/>
  <c r="G9" i="6"/>
  <c r="F9" i="6"/>
  <c r="E9" i="6"/>
  <c r="H9" i="6" s="1"/>
  <c r="J8" i="6"/>
  <c r="G8" i="6"/>
  <c r="F8" i="6"/>
  <c r="E8" i="6"/>
  <c r="H8" i="6" s="1"/>
  <c r="J7" i="6"/>
  <c r="G7" i="6"/>
  <c r="F7" i="6"/>
  <c r="E7" i="6"/>
  <c r="H7" i="6" s="1"/>
  <c r="J6" i="6"/>
  <c r="G6" i="6"/>
  <c r="F6" i="6"/>
  <c r="E6" i="6"/>
  <c r="H6" i="6" s="1"/>
  <c r="K24" i="5"/>
  <c r="K23" i="5"/>
  <c r="K22" i="5"/>
  <c r="K21" i="5"/>
  <c r="K20" i="5"/>
  <c r="K19" i="5"/>
  <c r="K18" i="5"/>
  <c r="L14" i="5"/>
  <c r="K14" i="5"/>
  <c r="J14" i="5"/>
  <c r="F14" i="5"/>
  <c r="E14" i="5"/>
  <c r="D14" i="5"/>
  <c r="G14" i="5" s="1"/>
  <c r="I14" i="5" s="1"/>
  <c r="L13" i="5"/>
  <c r="J13" i="5"/>
  <c r="K13" i="5" s="1"/>
  <c r="F13" i="5"/>
  <c r="E13" i="5"/>
  <c r="D13" i="5"/>
  <c r="G13" i="5" s="1"/>
  <c r="I13" i="5" s="1"/>
  <c r="L12" i="5"/>
  <c r="J12" i="5"/>
  <c r="K12" i="5" s="1"/>
  <c r="F12" i="5"/>
  <c r="E12" i="5"/>
  <c r="D12" i="5"/>
  <c r="G12" i="5" s="1"/>
  <c r="I12" i="5" s="1"/>
  <c r="L11" i="5"/>
  <c r="J11" i="5"/>
  <c r="K11" i="5" s="1"/>
  <c r="F11" i="5"/>
  <c r="E11" i="5"/>
  <c r="D11" i="5"/>
  <c r="G11" i="5" s="1"/>
  <c r="I11" i="5" s="1"/>
  <c r="L10" i="5"/>
  <c r="J10" i="5"/>
  <c r="K10" i="5" s="1"/>
  <c r="F10" i="5"/>
  <c r="E10" i="5"/>
  <c r="D10" i="5"/>
  <c r="G10" i="5" s="1"/>
  <c r="I10" i="5" s="1"/>
  <c r="L9" i="5"/>
  <c r="J9" i="5"/>
  <c r="K9" i="5" s="1"/>
  <c r="F9" i="5"/>
  <c r="E9" i="5"/>
  <c r="D9" i="5"/>
  <c r="G9" i="5" s="1"/>
  <c r="I9" i="5" s="1"/>
  <c r="L8" i="5"/>
  <c r="J8" i="5"/>
  <c r="K8" i="5" s="1"/>
  <c r="F8" i="5"/>
  <c r="E8" i="5"/>
  <c r="D8" i="5"/>
  <c r="G8" i="5" s="1"/>
  <c r="I8" i="5" s="1"/>
  <c r="L7" i="5"/>
  <c r="J7" i="5"/>
  <c r="K7" i="5" s="1"/>
  <c r="F7" i="5"/>
  <c r="E7" i="5"/>
  <c r="D7" i="5"/>
  <c r="G7" i="5" s="1"/>
  <c r="I7" i="5" s="1"/>
  <c r="L6" i="5"/>
  <c r="J6" i="5"/>
  <c r="K6" i="5" s="1"/>
  <c r="F6" i="5"/>
  <c r="E6" i="5"/>
  <c r="D6" i="5"/>
  <c r="G6" i="5" s="1"/>
  <c r="I6" i="5" s="1"/>
  <c r="L5" i="5"/>
  <c r="J5" i="5"/>
  <c r="K5" i="5" s="1"/>
  <c r="F5" i="5"/>
  <c r="E5" i="5"/>
  <c r="D5" i="5"/>
  <c r="L24" i="5" s="1"/>
  <c r="J16" i="4"/>
  <c r="M13" i="4"/>
  <c r="L13" i="4"/>
  <c r="K13" i="4"/>
  <c r="H13" i="4"/>
  <c r="G13" i="4"/>
  <c r="F13" i="4"/>
  <c r="E13" i="4"/>
  <c r="D13" i="4"/>
  <c r="M12" i="4"/>
  <c r="L12" i="4"/>
  <c r="K12" i="4"/>
  <c r="H12" i="4"/>
  <c r="G12" i="4"/>
  <c r="F12" i="4"/>
  <c r="E12" i="4"/>
  <c r="D12" i="4"/>
  <c r="M11" i="4"/>
  <c r="L11" i="4"/>
  <c r="K11" i="4"/>
  <c r="H11" i="4"/>
  <c r="G11" i="4"/>
  <c r="F11" i="4"/>
  <c r="E11" i="4"/>
  <c r="D11" i="4"/>
  <c r="M10" i="4"/>
  <c r="L10" i="4"/>
  <c r="K10" i="4"/>
  <c r="H10" i="4"/>
  <c r="G10" i="4"/>
  <c r="F10" i="4"/>
  <c r="E10" i="4"/>
  <c r="D10" i="4"/>
  <c r="M9" i="4"/>
  <c r="L9" i="4"/>
  <c r="K9" i="4"/>
  <c r="H9" i="4"/>
  <c r="G9" i="4"/>
  <c r="F9" i="4"/>
  <c r="E9" i="4"/>
  <c r="D9" i="4"/>
  <c r="M8" i="4"/>
  <c r="L8" i="4"/>
  <c r="K8" i="4"/>
  <c r="H8" i="4"/>
  <c r="G8" i="4"/>
  <c r="F8" i="4"/>
  <c r="E8" i="4"/>
  <c r="D8" i="4"/>
  <c r="M7" i="4"/>
  <c r="L7" i="4"/>
  <c r="K7" i="4"/>
  <c r="H7" i="4"/>
  <c r="G7" i="4"/>
  <c r="F7" i="4"/>
  <c r="E7" i="4"/>
  <c r="D7" i="4"/>
  <c r="M6" i="4"/>
  <c r="L6" i="4"/>
  <c r="J17" i="4" s="1"/>
  <c r="K6" i="4"/>
  <c r="H6" i="4"/>
  <c r="G6" i="4"/>
  <c r="F6" i="4"/>
  <c r="E6" i="4"/>
  <c r="D6" i="4"/>
  <c r="F21" i="1"/>
  <c r="N12" i="1"/>
  <c r="L12" i="1"/>
  <c r="K12" i="1"/>
  <c r="J12" i="1"/>
  <c r="I12" i="1"/>
  <c r="M12" i="1" s="1"/>
  <c r="N11" i="1"/>
  <c r="L11" i="1"/>
  <c r="K11" i="1"/>
  <c r="J11" i="1"/>
  <c r="I11" i="1"/>
  <c r="M11" i="1" s="1"/>
  <c r="N10" i="1"/>
  <c r="L10" i="1"/>
  <c r="K10" i="1"/>
  <c r="J10" i="1"/>
  <c r="I10" i="1"/>
  <c r="M10" i="1" s="1"/>
  <c r="N9" i="1"/>
  <c r="L9" i="1"/>
  <c r="K9" i="1"/>
  <c r="F18" i="1" s="1"/>
  <c r="J9" i="1"/>
  <c r="F17" i="1" s="1"/>
  <c r="I9" i="1"/>
  <c r="M9" i="1" s="1"/>
  <c r="N8" i="1"/>
  <c r="L8" i="1"/>
  <c r="F19" i="1" s="1"/>
  <c r="K8" i="1"/>
  <c r="J8" i="1"/>
  <c r="I8" i="1"/>
  <c r="F16" i="1" s="1"/>
  <c r="D21" i="2"/>
  <c r="C21" i="2"/>
  <c r="B21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F15" i="3"/>
  <c r="I12" i="3"/>
  <c r="J12" i="3" s="1"/>
  <c r="H12" i="3"/>
  <c r="I11" i="3"/>
  <c r="J11" i="3" s="1"/>
  <c r="H11" i="3"/>
  <c r="I10" i="3"/>
  <c r="H10" i="3"/>
  <c r="I9" i="3"/>
  <c r="J9" i="3" s="1"/>
  <c r="H9" i="3"/>
  <c r="I8" i="3"/>
  <c r="J8" i="3" s="1"/>
  <c r="H8" i="3"/>
  <c r="M7" i="7" l="1"/>
  <c r="I17" i="7"/>
  <c r="K9" i="7"/>
  <c r="J6" i="7"/>
  <c r="J10" i="7"/>
  <c r="K8" i="7"/>
  <c r="K7" i="7"/>
  <c r="M5" i="7"/>
  <c r="M6" i="6"/>
  <c r="M7" i="6"/>
  <c r="M8" i="6"/>
  <c r="M9" i="6"/>
  <c r="M10" i="6"/>
  <c r="M11" i="6"/>
  <c r="J10" i="3"/>
  <c r="K10" i="3" s="1"/>
  <c r="K8" i="3"/>
  <c r="K9" i="3"/>
  <c r="K11" i="3"/>
  <c r="K12" i="3"/>
  <c r="G5" i="5"/>
  <c r="I5" i="5" s="1"/>
  <c r="L19" i="5"/>
  <c r="L21" i="5"/>
  <c r="L23" i="5"/>
  <c r="K6" i="6"/>
  <c r="K7" i="6"/>
  <c r="K8" i="6"/>
  <c r="K9" i="6"/>
  <c r="K10" i="6"/>
  <c r="K11" i="6"/>
  <c r="M8" i="1"/>
  <c r="F20" i="1" s="1"/>
  <c r="L6" i="6"/>
  <c r="J19" i="6" s="1"/>
  <c r="L7" i="6"/>
  <c r="L8" i="6"/>
  <c r="L9" i="6"/>
  <c r="L10" i="6"/>
  <c r="L11" i="6"/>
  <c r="L18" i="5"/>
  <c r="L20" i="5"/>
  <c r="L22" i="5"/>
  <c r="M10" i="7" l="1"/>
  <c r="K10" i="7"/>
  <c r="M6" i="7"/>
  <c r="I16" i="7" s="1"/>
  <c r="K6" i="7"/>
  <c r="J17" i="6"/>
  <c r="J16" i="6"/>
  <c r="F17" i="3"/>
  <c r="F16" i="3"/>
</calcChain>
</file>

<file path=xl/sharedStrings.xml><?xml version="1.0" encoding="utf-8"?>
<sst xmlns="http://schemas.openxmlformats.org/spreadsheetml/2006/main" count="377" uniqueCount="235">
  <si>
    <r>
      <rPr>
        <b/>
        <sz val="14"/>
        <color theme="1"/>
        <rFont val="Times New Roman"/>
        <charset val="134"/>
      </rPr>
      <t>Khách sạn Khuê Hương
220 - Hùng Vương - Q5 - Tp.HCM
---</t>
    </r>
    <r>
      <rPr>
        <b/>
        <sz val="14"/>
        <color theme="1"/>
        <rFont val="Wingdings"/>
        <charset val="2"/>
      </rPr>
      <t>{</t>
    </r>
    <r>
      <rPr>
        <b/>
        <sz val="14"/>
        <color theme="1"/>
        <rFont val="Times New Roman"/>
        <charset val="134"/>
      </rPr>
      <t>------</t>
    </r>
  </si>
  <si>
    <t>Bảng Theo Dõi Khách Thuê Phòng</t>
  </si>
  <si>
    <t>Số
TT</t>
  </si>
  <si>
    <t>Số
phòng</t>
  </si>
  <si>
    <t>Khách 
hàng</t>
  </si>
  <si>
    <t>Ngày 
đến</t>
  </si>
  <si>
    <t>Ngày 
đi</t>
  </si>
  <si>
    <t>Số
ngày ở</t>
  </si>
  <si>
    <t>Thành
tiền</t>
  </si>
  <si>
    <t>Tiền
thuế</t>
  </si>
  <si>
    <t>Tiền 
phải trả</t>
  </si>
  <si>
    <t>001</t>
  </si>
  <si>
    <t>Nam</t>
  </si>
  <si>
    <t>002</t>
  </si>
  <si>
    <t>Dũng</t>
  </si>
  <si>
    <t>003</t>
  </si>
  <si>
    <t>Minh</t>
  </si>
  <si>
    <t>004</t>
  </si>
  <si>
    <t>Khánh</t>
  </si>
  <si>
    <t>005</t>
  </si>
  <si>
    <t>Khang</t>
  </si>
  <si>
    <t>Tổng số khách hàng</t>
  </si>
  <si>
    <t>Số tiền phải trả cao nhất</t>
  </si>
  <si>
    <t>Số tiền phải trả thấp nhất</t>
  </si>
  <si>
    <r>
      <rPr>
        <b/>
        <sz val="16"/>
        <color theme="1"/>
        <rFont val="Times New Roman"/>
        <charset val="134"/>
      </rPr>
      <t>Trường PTTH Trần Hưng Đạo
38 - Trần Hưng Đạo - Q1 - Tp.HCM
---</t>
    </r>
    <r>
      <rPr>
        <b/>
        <sz val="16"/>
        <color theme="1"/>
        <rFont val="Wingdings"/>
        <charset val="2"/>
      </rPr>
      <t>{</t>
    </r>
    <r>
      <rPr>
        <b/>
        <sz val="16"/>
        <color theme="1"/>
        <rFont val="Times New Roman"/>
        <charset val="134"/>
      </rPr>
      <t>------</t>
    </r>
  </si>
  <si>
    <t>BẢNG TỔNG KẾT HỌC TẬP</t>
  </si>
  <si>
    <t>Số TT</t>
  </si>
  <si>
    <t>Họ tên</t>
  </si>
  <si>
    <t>Xếp loại 
đạo đức</t>
  </si>
  <si>
    <t>Điểm TB 
HK 1</t>
  </si>
  <si>
    <t>Điểm TB 
HK 2</t>
  </si>
  <si>
    <t>Điểm TB 
cả năm</t>
  </si>
  <si>
    <t>Xếp
hạng</t>
  </si>
  <si>
    <t>Kết 
quả</t>
  </si>
  <si>
    <t>Khen thưởng</t>
  </si>
  <si>
    <t>Thanh</t>
  </si>
  <si>
    <t>A</t>
  </si>
  <si>
    <t>Tú</t>
  </si>
  <si>
    <t>&gt;=8</t>
  </si>
  <si>
    <t>B</t>
  </si>
  <si>
    <t>Khoa</t>
  </si>
  <si>
    <t>Hùng</t>
  </si>
  <si>
    <t>Lên lớp thẳng</t>
  </si>
  <si>
    <t>Tổng số học sinh</t>
  </si>
  <si>
    <t>Điểm trung bình cả năm cao nhất</t>
  </si>
  <si>
    <t>Tổng số tiền khen thưởng</t>
  </si>
  <si>
    <t>BẢNG LƯƠNG NHÂN VIÊN THÁNG 10 NĂM 2000</t>
  </si>
  <si>
    <t>Mức lương:</t>
  </si>
  <si>
    <t>Số ngày quy định trong tháng:</t>
  </si>
  <si>
    <t>Số 
TT</t>
  </si>
  <si>
    <t>Phái</t>
  </si>
  <si>
    <t>Hệ số 
lương</t>
  </si>
  <si>
    <t>Số năm
công tác</t>
  </si>
  <si>
    <t>Số ngày
làm việc</t>
  </si>
  <si>
    <t>Lương
cơ bản</t>
  </si>
  <si>
    <t>Phụ 
cấp</t>
  </si>
  <si>
    <t>Tiền
phạt</t>
  </si>
  <si>
    <t>Tiền
thưởng</t>
  </si>
  <si>
    <t>Tiền
lãnh</t>
  </si>
  <si>
    <t>Ghi
chú</t>
  </si>
  <si>
    <t xml:space="preserve">Tú </t>
  </si>
  <si>
    <t>Nữ</t>
  </si>
  <si>
    <t>Trinh</t>
  </si>
  <si>
    <t>Bảng tổng hợp</t>
  </si>
  <si>
    <t>Tổng lương CB</t>
  </si>
  <si>
    <t>Tổng phụ cấp</t>
  </si>
  <si>
    <t>Tổng tiền phạt</t>
  </si>
  <si>
    <t>Tổng tiền thưởng</t>
  </si>
  <si>
    <t>Tổng tiền lãnh</t>
  </si>
  <si>
    <t xml:space="preserve">Lương TB của nhân viên  </t>
  </si>
  <si>
    <t>Bảng Theo Dõi Hàng Hóa</t>
  </si>
  <si>
    <t>Tỉ giá:</t>
  </si>
  <si>
    <t>Lô hàng</t>
  </si>
  <si>
    <t>Mã 
hàng</t>
  </si>
  <si>
    <t>Tháng
năm</t>
  </si>
  <si>
    <t>Mã nhà
SX</t>
  </si>
  <si>
    <t>Tên
hàng</t>
  </si>
  <si>
    <t>Tên nhà 
SX</t>
  </si>
  <si>
    <t>Số 
lượng</t>
  </si>
  <si>
    <t>Đơn giá
(USD)</t>
  </si>
  <si>
    <t>Tiền 
(USD)</t>
  </si>
  <si>
    <t>Tiền
(VND)</t>
  </si>
  <si>
    <t>Khuyến
mại</t>
  </si>
  <si>
    <t>TV092002SN</t>
  </si>
  <si>
    <t>ML082002PN</t>
  </si>
  <si>
    <t>TL072002TB</t>
  </si>
  <si>
    <t>MG092002SY</t>
  </si>
  <si>
    <t>TV072002PN</t>
  </si>
  <si>
    <t>VD082002SN</t>
  </si>
  <si>
    <t>TL082002EL</t>
  </si>
  <si>
    <t>TL072002SP</t>
  </si>
  <si>
    <t>Mã hàng</t>
  </si>
  <si>
    <t>Tên hàng</t>
  </si>
  <si>
    <t>Mã nhà SX</t>
  </si>
  <si>
    <t>Tên nhà SX</t>
  </si>
  <si>
    <t>Thống kê:</t>
  </si>
  <si>
    <t>TL</t>
  </si>
  <si>
    <t>Tủ lạnh</t>
  </si>
  <si>
    <t>PN</t>
  </si>
  <si>
    <t>Panasonic</t>
  </si>
  <si>
    <t>Tiền (USD)</t>
  </si>
  <si>
    <t>ML</t>
  </si>
  <si>
    <t>Máy lạnh</t>
  </si>
  <si>
    <t>SN</t>
  </si>
  <si>
    <t>Sony</t>
  </si>
  <si>
    <t>Tiền (VND)</t>
  </si>
  <si>
    <t>TV</t>
  </si>
  <si>
    <t>Ti vi</t>
  </si>
  <si>
    <t>TB</t>
  </si>
  <si>
    <t>Toshiba</t>
  </si>
  <si>
    <t>VD</t>
  </si>
  <si>
    <t>Đầu Video</t>
  </si>
  <si>
    <t>EL</t>
  </si>
  <si>
    <t>Electrolux</t>
  </si>
  <si>
    <t>MG</t>
  </si>
  <si>
    <t>Máy giặt</t>
  </si>
  <si>
    <t>SY</t>
  </si>
  <si>
    <t>SanYo</t>
  </si>
  <si>
    <t>SP</t>
  </si>
  <si>
    <t>Sharp</t>
  </si>
  <si>
    <t>Stt</t>
  </si>
  <si>
    <t>Nguồn
hàng</t>
  </si>
  <si>
    <t>Mã
MH</t>
  </si>
  <si>
    <t>Tên 
MH</t>
  </si>
  <si>
    <t>DVT</t>
  </si>
  <si>
    <t>Đơn
giá</t>
  </si>
  <si>
    <t>Số
lượng</t>
  </si>
  <si>
    <t>Loại
hàng</t>
  </si>
  <si>
    <t>Tên
loại hàng</t>
  </si>
  <si>
    <t>B0800001</t>
  </si>
  <si>
    <t>B0800002</t>
  </si>
  <si>
    <t>B0900001</t>
  </si>
  <si>
    <t>B0900002</t>
  </si>
  <si>
    <t>K0900001</t>
  </si>
  <si>
    <t>Kem đánh răng</t>
  </si>
  <si>
    <t>K0900002</t>
  </si>
  <si>
    <t>M0800001</t>
  </si>
  <si>
    <t>M0800002</t>
  </si>
  <si>
    <t>M0900001</t>
  </si>
  <si>
    <t>M0900002</t>
  </si>
  <si>
    <t>Mã MH</t>
  </si>
  <si>
    <t>Tên MH</t>
  </si>
  <si>
    <t>Đơn giá</t>
  </si>
  <si>
    <t>Mã mh</t>
  </si>
  <si>
    <t>Tổng
số lượng</t>
  </si>
  <si>
    <t>Tổng số 
tiền</t>
  </si>
  <si>
    <t>K001</t>
  </si>
  <si>
    <t>Kem P/S</t>
  </si>
  <si>
    <t>Lọ</t>
  </si>
  <si>
    <t>K</t>
  </si>
  <si>
    <t>K002</t>
  </si>
  <si>
    <t>Kem Close up</t>
  </si>
  <si>
    <t>Bột giặt</t>
  </si>
  <si>
    <t>B001</t>
  </si>
  <si>
    <t>Bột giặt Viso</t>
  </si>
  <si>
    <t>Kg</t>
  </si>
  <si>
    <t>M</t>
  </si>
  <si>
    <t>Mì ăn liền</t>
  </si>
  <si>
    <t>B002</t>
  </si>
  <si>
    <t>Bột giặt Omo</t>
  </si>
  <si>
    <t>M001</t>
  </si>
  <si>
    <t>Mì A one</t>
  </si>
  <si>
    <t>Gói</t>
  </si>
  <si>
    <t>M002</t>
  </si>
  <si>
    <t>Mì Miliket</t>
  </si>
  <si>
    <t>M111</t>
  </si>
  <si>
    <t>Bánh mì Kinh Đô</t>
  </si>
  <si>
    <t>Cái</t>
  </si>
  <si>
    <t>09/2000</t>
  </si>
  <si>
    <t>Kết Quả Kì Thi Tuyển Sinh 2000</t>
  </si>
  <si>
    <t>Mã số
thí sinh</t>
  </si>
  <si>
    <t xml:space="preserve">Họ tên </t>
  </si>
  <si>
    <t>Khối</t>
  </si>
  <si>
    <t>Khu
vực</t>
  </si>
  <si>
    <t>Tên
ngành</t>
  </si>
  <si>
    <t>Điểm
chuẩn</t>
  </si>
  <si>
    <t>Điểm
thi</t>
  </si>
  <si>
    <t>Điểm
ưu tiên</t>
  </si>
  <si>
    <t>Kết quả</t>
  </si>
  <si>
    <t>Học
bổng</t>
  </si>
  <si>
    <t>A1001101</t>
  </si>
  <si>
    <t>A1002105</t>
  </si>
  <si>
    <t>B3003112</t>
  </si>
  <si>
    <t>B2004111</t>
  </si>
  <si>
    <t>Tuấn</t>
  </si>
  <si>
    <t>A2005105</t>
  </si>
  <si>
    <t>Hoa</t>
  </si>
  <si>
    <t>B1006112</t>
  </si>
  <si>
    <t>Mai</t>
  </si>
  <si>
    <t>Bảng điểm chuẩn</t>
  </si>
  <si>
    <t>Mã
ngành</t>
  </si>
  <si>
    <t>Điểm chuẩn theo khối</t>
  </si>
  <si>
    <t>Thống kê</t>
  </si>
  <si>
    <t>Tổng số thí sinh:</t>
  </si>
  <si>
    <t>Tin học</t>
  </si>
  <si>
    <t>Tổng số đậu:</t>
  </si>
  <si>
    <t>Xây dựng</t>
  </si>
  <si>
    <t>Tổng số rớt:</t>
  </si>
  <si>
    <t>Ngoại ngữ</t>
  </si>
  <si>
    <t>Tổng số thi sinh đạt điểm cao nhất:</t>
  </si>
  <si>
    <t>Luật</t>
  </si>
  <si>
    <t>Tổng số thí sinh được học bổng:</t>
  </si>
  <si>
    <t>1</t>
  </si>
  <si>
    <t>0</t>
  </si>
  <si>
    <t>đậu</t>
  </si>
  <si>
    <t>500000</t>
  </si>
  <si>
    <t/>
  </si>
  <si>
    <t>chờ xét duyệt</t>
  </si>
  <si>
    <t>2</t>
  </si>
  <si>
    <t>Đăng ký thuê phòng</t>
  </si>
  <si>
    <t>Khách</t>
  </si>
  <si>
    <t>Khách
nước ngoài</t>
  </si>
  <si>
    <t>Ngày đến</t>
  </si>
  <si>
    <t>Ngày đi</t>
  </si>
  <si>
    <t>ĐG thuê
(1ngày)</t>
  </si>
  <si>
    <t>Phụ
thu</t>
  </si>
  <si>
    <t>Tiền
giảm</t>
  </si>
  <si>
    <t>Tiền
trả</t>
  </si>
  <si>
    <t>A01</t>
  </si>
  <si>
    <t>C06</t>
  </si>
  <si>
    <t>Mary</t>
  </si>
  <si>
    <t>x</t>
  </si>
  <si>
    <t>B04</t>
  </si>
  <si>
    <t>Tùng</t>
  </si>
  <si>
    <t>B02</t>
  </si>
  <si>
    <t>Peter</t>
  </si>
  <si>
    <t>Thu</t>
  </si>
  <si>
    <t>A05</t>
  </si>
  <si>
    <t>Bảng giá thuê phòng</t>
  </si>
  <si>
    <t>Tầng</t>
  </si>
  <si>
    <t>Đơn giá thuê theo loại phòng</t>
  </si>
  <si>
    <t>C</t>
  </si>
  <si>
    <t>Tổng số tiền thu được:</t>
  </si>
  <si>
    <t>Tổng số tiền giảm:</t>
  </si>
  <si>
    <t>Tổng số người nước ngoài: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</si>
</sst>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đồng&quot;;[Red]\-#,##0\ &quot;đồng&quot;"/>
    <numFmt numFmtId="168" formatCode="#,##0\ &quot;đồng&quot;"/>
    <numFmt numFmtId="169" formatCode="dd\/mm\/yyyy"/>
  </numFmts>
  <fonts count="9">
    <font>
      <sz val="11"/>
      <color theme="1"/>
      <name val="Arial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0"/>
      <name val="Times New Roman"/>
      <charset val="134"/>
    </font>
    <font>
      <b/>
      <sz val="16"/>
      <color theme="1"/>
      <name val="Times New Roman"/>
      <charset val="163"/>
    </font>
    <font>
      <sz val="16"/>
      <color theme="1"/>
      <name val="Times New Roman"/>
      <charset val="163"/>
    </font>
    <font>
      <b/>
      <sz val="16"/>
      <color theme="1"/>
      <name val="Times New Roman"/>
      <charset val="134"/>
    </font>
    <font>
      <b/>
      <sz val="16"/>
      <color theme="1"/>
      <name val="Wingdings"/>
      <charset val="2"/>
    </font>
    <font>
      <b/>
      <sz val="14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61">
    <border>
      <left/>
      <right/>
      <top/>
      <bottom/>
      <diagonal/>
    </border>
    <border>
      <left style="thin">
        <color theme="4" tint="-0.499984740745262"/>
      </left>
      <right style="thin">
        <color theme="0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dashDot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hair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dashDot">
        <color theme="4" tint="-0.499984740745262"/>
      </top>
      <bottom style="mediumDash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hair">
        <color theme="4" tint="-0.499984740745262"/>
      </top>
      <bottom style="hair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499984740745262"/>
      </top>
      <bottom style="dashDot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ashDot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0"/>
      </left>
      <right style="thin">
        <color theme="4" tint="-0.499984740745262"/>
      </right>
      <top style="thin">
        <color theme="4" tint="-0.499984740745262"/>
      </top>
      <bottom style="thin">
        <color theme="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 style="thin">
        <color theme="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otted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dashDotDot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dashDotDot">
        <color theme="4" tint="-0.499984740745262"/>
      </top>
      <bottom style="dashDotDot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mediumDash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499984740745262"/>
      </top>
      <bottom style="dashDotDot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otted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otted">
        <color theme="4" tint="-0.499984740745262"/>
      </top>
      <bottom style="dott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ashDotDot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hair">
        <color theme="4" tint="-0.499984740745262"/>
      </top>
      <bottom style="thin">
        <color theme="4" tint="-0.499984740745262"/>
      </bottom>
      <diagonal/>
    </border>
    <border>
      <left style="dashDotDot">
        <color theme="0" tint="-0.249977111117893"/>
      </left>
      <right style="dashDotDot">
        <color theme="0" tint="-0.249977111117893"/>
      </right>
      <top style="dashDotDot">
        <color theme="0" tint="-0.249977111117893"/>
      </top>
      <bottom style="dashDotDot">
        <color theme="0" tint="-0.249977111117893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2"/>
      </left>
      <right style="thin">
        <color theme="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ashDot">
        <color theme="4" tint="-0.499984740745262"/>
      </top>
      <bottom style="dashDot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dashDot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hair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Dashed">
        <color theme="4" tint="-0.249977111117893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dott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499984740745262"/>
      </top>
      <bottom style="medium">
        <color theme="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2"/>
      </bottom>
      <diagonal/>
    </border>
    <border>
      <left style="thin">
        <color theme="4" tint="-0.499984740745262"/>
      </left>
      <right style="thin">
        <color theme="4" tint="-0.499984740745262"/>
      </right>
      <top style="dotted">
        <color theme="4" tint="-0.499984740745262"/>
      </top>
      <bottom style="medium">
        <color theme="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dott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499984740745262"/>
      </top>
      <bottom style="mediumDashed">
        <color theme="4" tint="-0.249977111117893"/>
      </bottom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249977111117893"/>
      </top>
      <bottom style="mediumDashed">
        <color theme="4" tint="-0.249977111117893"/>
      </bottom>
      <diagonal/>
    </border>
    <border>
      <left style="thin">
        <color theme="4" tint="-0.499984740745262"/>
      </left>
      <right style="thin">
        <color theme="4" tint="-0.249977111117893"/>
      </right>
      <top style="dotted">
        <color theme="4" tint="-0.499984740745262"/>
      </top>
      <bottom style="dotted">
        <color theme="4" tint="-0.499984740745262"/>
      </bottom>
      <diagonal/>
    </border>
    <border>
      <left/>
      <right style="thin">
        <color theme="4" tint="-0.499984740745262"/>
      </right>
      <top style="mediumDashed">
        <color theme="4" tint="-0.249977111117893"/>
      </top>
      <bottom style="mediumDashed">
        <color theme="4" tint="-0.249977111117893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Dash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499984740745262"/>
      </top>
      <bottom style="mediumDash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Dashed">
        <color theme="4" tint="-0.499984740745262"/>
      </top>
      <bottom style="thin">
        <color theme="4" tint="-0.249977111117893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Dashed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theme="0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dotted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dotted">
        <color theme="4" tint="-0.499984740745262"/>
      </top>
      <bottom style="dotted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dotted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dotted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dotted">
        <color theme="4" tint="-0.499984740745262"/>
      </top>
      <bottom style="dotted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dotted">
        <color theme="4" tint="-0.499984740745262"/>
      </top>
      <bottom style="medium">
        <color theme="4" tint="-0.499984740745262"/>
      </bottom>
      <diagonal/>
    </border>
    <border>
      <left/>
      <right/>
      <top style="dotted">
        <color theme="4" tint="-0.499984740745262"/>
      </top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Dashed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Dashed">
        <color theme="4" tint="-0.499984740745262"/>
      </top>
      <bottom/>
      <diagonal/>
    </border>
    <border>
      <left style="medium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Dashed">
        <color theme="4" tint="-0.499984740745262"/>
      </top>
      <bottom style="mediumDashed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Dashed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theme="4" tint="-0.499984740745262"/>
      </right>
      <top style="mediumDashed">
        <color theme="4" tint="-0.499984740745262"/>
      </top>
      <bottom style="medium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 style="thin">
        <color auto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auto="1"/>
      </top>
      <bottom style="dott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auto="1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/>
      <top style="dotted">
        <color theme="4" tint="-0.499984740745262"/>
      </top>
      <bottom style="dotted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auto="1"/>
      </bottom>
      <diagonal/>
    </border>
    <border>
      <left style="thin">
        <color theme="4" tint="-0.499984740745262"/>
      </left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auto="1"/>
      </top>
      <bottom style="thin">
        <color auto="1"/>
      </bottom>
      <diagonal/>
    </border>
    <border>
      <left/>
      <right/>
      <top style="dotted">
        <color theme="4" tint="-0.499984740745262"/>
      </top>
      <bottom style="dotted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auto="1"/>
      </top>
      <bottom style="thin">
        <color auto="1"/>
      </bottom>
      <diagonal/>
    </border>
    <border>
      <left style="thin">
        <color theme="4" tint="-0.499984740745262"/>
      </left>
      <right/>
      <top style="dotted">
        <color theme="4" tint="-0.499984740745262"/>
      </top>
      <bottom style="thin">
        <color theme="4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-0.499984740745262"/>
      </left>
      <right/>
      <top style="thin">
        <color auto="1"/>
      </top>
      <bottom/>
      <diagonal/>
    </border>
    <border>
      <left style="thin">
        <color theme="4" tint="-0.499984740745262"/>
      </left>
      <right/>
      <top/>
      <bottom/>
      <diagonal/>
    </border>
    <border>
      <left style="thin">
        <color theme="4" tint="-0.499984740745262"/>
      </left>
      <right/>
      <top style="thin">
        <color auto="1"/>
      </top>
      <bottom style="thick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n">
        <color auto="1"/>
      </right>
      <top style="dotted">
        <color theme="4" tint="-0.499984740745262"/>
      </top>
      <bottom style="dotted">
        <color theme="4" tint="-0.499984740745262"/>
      </bottom>
      <diagonal/>
    </border>
    <border>
      <left style="thin">
        <color auto="1"/>
      </left>
      <right/>
      <top style="dotted">
        <color theme="4" tint="-0.499984740745262"/>
      </top>
      <bottom/>
      <diagonal/>
    </border>
    <border>
      <left style="thin">
        <color theme="4" tint="-0.499984740745262"/>
      </left>
      <right/>
      <top style="thick">
        <color theme="4" tint="-0.499984740745262"/>
      </top>
      <bottom style="thin">
        <color auto="1"/>
      </bottom>
      <diagonal/>
    </border>
    <border>
      <left/>
      <right/>
      <top style="thin">
        <color auto="1"/>
      </top>
      <bottom style="thick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ck">
        <color theme="4" tint="-0.499984740745262"/>
      </top>
      <bottom/>
      <diagonal/>
    </border>
    <border>
      <left style="thin">
        <color theme="4" tint="-0.499984740745262"/>
      </left>
      <right/>
      <top style="dotted">
        <color theme="4" tint="-0.499984740745262"/>
      </top>
      <bottom/>
      <diagonal/>
    </border>
    <border>
      <left/>
      <right/>
      <top style="thick">
        <color theme="4" tint="-0.499984740745262"/>
      </top>
      <bottom/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n">
        <color theme="0"/>
      </right>
      <top style="thin">
        <color theme="4" tint="-0.499984740745262"/>
      </top>
      <bottom style="hair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 style="hair">
        <color theme="4" tint="-0.499984740745262"/>
      </bottom>
      <diagonal/>
    </border>
    <border>
      <left style="thin">
        <color theme="0"/>
      </left>
      <right/>
      <top/>
      <bottom style="hair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hair">
        <color theme="4" tint="-0.499984740745262"/>
      </top>
      <bottom style="thin">
        <color auto="1"/>
      </bottom>
      <diagonal/>
    </border>
    <border>
      <left style="thick">
        <color theme="4" tint="-0.499984740745262"/>
      </left>
      <right style="thick">
        <color theme="4" tint="-0.499984740745262"/>
      </right>
      <top style="hair">
        <color theme="4" tint="-0.499984740745262"/>
      </top>
      <bottom style="hair">
        <color theme="1"/>
      </bottom>
      <diagonal/>
    </border>
    <border>
      <left style="thick">
        <color theme="4" tint="-0.499984740745262"/>
      </left>
      <right/>
      <top style="hair">
        <color theme="4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theme="1"/>
      </top>
      <bottom/>
      <diagonal/>
    </border>
    <border>
      <left style="thick">
        <color theme="4" tint="-0.499984740745262"/>
      </left>
      <right style="thick">
        <color theme="4" tint="-0.499984740745262"/>
      </right>
      <top style="thin">
        <color auto="1"/>
      </top>
      <bottom style="thin">
        <color auto="1"/>
      </bottom>
      <diagonal/>
    </border>
    <border>
      <left/>
      <right/>
      <top style="hair">
        <color theme="1"/>
      </top>
      <bottom/>
      <diagonal/>
    </border>
    <border>
      <left style="thick">
        <color theme="4" tint="-0.499984740745262"/>
      </left>
      <right/>
      <top style="hair">
        <color theme="1"/>
      </top>
      <bottom style="hair">
        <color theme="1"/>
      </bottom>
      <diagonal/>
    </border>
    <border>
      <left style="thick">
        <color theme="4" tint="-0.499984740745262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4" tint="-0.499984740745262"/>
      </left>
      <right style="thick">
        <color theme="4" tint="-0.499984740745262"/>
      </right>
      <top/>
      <bottom/>
      <diagonal/>
    </border>
    <border>
      <left style="thick">
        <color theme="4" tint="-0.499984740745262"/>
      </left>
      <right style="thick">
        <color theme="4" tint="-0.499984740745262"/>
      </right>
      <top style="hair">
        <color theme="1"/>
      </top>
      <bottom style="hair">
        <color theme="1"/>
      </bottom>
      <diagonal/>
    </border>
    <border>
      <left style="thick">
        <color theme="4" tint="-0.499984740745262"/>
      </left>
      <right style="thick">
        <color theme="4" tint="-0.499984740745262"/>
      </right>
      <top style="hair">
        <color theme="4" tint="-0.499984740745262"/>
      </top>
      <bottom style="hair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/>
      <right/>
      <top style="hair">
        <color theme="4" tint="-0.499984740745262"/>
      </top>
      <bottom/>
      <diagonal/>
    </border>
    <border>
      <left style="thin">
        <color theme="0"/>
      </left>
      <right/>
      <top style="thin">
        <color theme="4" tint="-0.499984740745262"/>
      </top>
      <bottom style="hair">
        <color theme="4" tint="-0.499984740745262"/>
      </bottom>
      <diagonal/>
    </border>
    <border>
      <left/>
      <right/>
      <top/>
      <bottom style="hair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auto="1"/>
      </top>
      <bottom style="hair">
        <color theme="4" tint="-0.499984740745262"/>
      </bottom>
      <diagonal/>
    </border>
    <border>
      <left style="thin">
        <color theme="4" tint="-0.499984740745262"/>
      </left>
      <right/>
      <top style="thin">
        <color auto="1"/>
      </top>
      <bottom style="hair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theme="4" tint="-0.499984740745262"/>
      </top>
      <bottom/>
      <diagonal/>
    </border>
    <border>
      <left style="thick">
        <color theme="4" tint="-0.499984740745262"/>
      </left>
      <right/>
      <top style="hair">
        <color theme="4" tint="-0.499984740745262"/>
      </top>
      <bottom style="hair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/>
      <top/>
      <bottom/>
      <diagonal/>
    </border>
    <border>
      <left style="thin">
        <color theme="4" tint="-0.499984740745262"/>
      </left>
      <right/>
      <top style="hair">
        <color theme="4" tint="-0.499984740745262"/>
      </top>
      <bottom style="hair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hair">
        <color theme="4" tint="-0.499984740745262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4" tint="-0.499984740745262"/>
      </right>
      <top style="thin">
        <color theme="4" tint="-0.499984740745262"/>
      </top>
      <bottom style="thin">
        <color auto="1"/>
      </bottom>
      <diagonal/>
    </border>
    <border>
      <left style="thick">
        <color theme="4" tint="-0.499984740745262"/>
      </left>
      <right/>
      <top style="thin">
        <color auto="1"/>
      </top>
      <bottom/>
      <diagonal/>
    </border>
    <border>
      <left style="thin">
        <color theme="4" tint="-0.499984740745262"/>
      </left>
      <right/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14" fontId="0" fillId="3" borderId="3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2" borderId="54" xfId="0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6" fontId="1" fillId="0" borderId="21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 wrapText="1"/>
    </xf>
    <xf numFmtId="0" fontId="1" fillId="2" borderId="83" xfId="0" applyFont="1" applyFill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6" fontId="1" fillId="0" borderId="84" xfId="0" applyNumberFormat="1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6" fontId="1" fillId="0" borderId="69" xfId="0" applyNumberFormat="1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6" fontId="1" fillId="0" borderId="88" xfId="0" applyNumberFormat="1" applyFont="1" applyBorder="1" applyAlignment="1">
      <alignment horizontal="center" vertical="center"/>
    </xf>
    <xf numFmtId="6" fontId="1" fillId="0" borderId="0" xfId="0" applyNumberFormat="1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6" fontId="1" fillId="0" borderId="89" xfId="0" applyNumberFormat="1" applyFont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3" borderId="91" xfId="0" applyFont="1" applyFill="1" applyBorder="1" applyAlignment="1">
      <alignment horizontal="center" vertical="center"/>
    </xf>
    <xf numFmtId="0" fontId="1" fillId="3" borderId="75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6" fontId="1" fillId="3" borderId="8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93" xfId="0" applyFont="1" applyBorder="1" applyAlignment="1">
      <alignment horizontal="center"/>
    </xf>
    <xf numFmtId="168" fontId="1" fillId="0" borderId="93" xfId="0" applyNumberFormat="1" applyFont="1" applyBorder="1" applyAlignment="1">
      <alignment horizontal="center"/>
    </xf>
    <xf numFmtId="0" fontId="3" fillId="2" borderId="94" xfId="0" applyFont="1" applyFill="1" applyBorder="1" applyAlignment="1">
      <alignment horizontal="center" vertical="center" wrapText="1"/>
    </xf>
    <xf numFmtId="0" fontId="3" fillId="2" borderId="95" xfId="0" applyFont="1" applyFill="1" applyBorder="1" applyAlignment="1">
      <alignment horizontal="center" vertical="center"/>
    </xf>
    <xf numFmtId="0" fontId="3" fillId="2" borderId="96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 wrapText="1"/>
    </xf>
    <xf numFmtId="0" fontId="1" fillId="0" borderId="98" xfId="0" applyFont="1" applyBorder="1"/>
    <xf numFmtId="0" fontId="1" fillId="0" borderId="99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9" xfId="0" applyFont="1" applyBorder="1"/>
    <xf numFmtId="0" fontId="1" fillId="0" borderId="10" xfId="0" applyFont="1" applyBorder="1" applyAlignment="1"/>
    <xf numFmtId="168" fontId="1" fillId="0" borderId="10" xfId="0" applyNumberFormat="1" applyFont="1" applyBorder="1" applyAlignment="1"/>
    <xf numFmtId="0" fontId="3" fillId="2" borderId="95" xfId="0" applyFont="1" applyFill="1" applyBorder="1" applyAlignment="1">
      <alignment horizontal="center" vertical="center" wrapText="1"/>
    </xf>
    <xf numFmtId="0" fontId="3" fillId="2" borderId="110" xfId="0" applyFont="1" applyFill="1" applyBorder="1" applyAlignment="1">
      <alignment horizontal="center" vertical="center" wrapText="1"/>
    </xf>
    <xf numFmtId="168" fontId="1" fillId="0" borderId="108" xfId="0" applyNumberFormat="1" applyFont="1" applyBorder="1" applyAlignment="1">
      <alignment horizontal="center" vertical="center"/>
    </xf>
    <xf numFmtId="168" fontId="1" fillId="0" borderId="100" xfId="0" applyNumberFormat="1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0" borderId="112" xfId="0" applyFont="1" applyBorder="1"/>
    <xf numFmtId="168" fontId="1" fillId="0" borderId="113" xfId="0" applyNumberFormat="1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68" fontId="1" fillId="0" borderId="116" xfId="0" applyNumberFormat="1" applyFont="1" applyBorder="1" applyAlignment="1">
      <alignment horizontal="center" vertical="center"/>
    </xf>
    <xf numFmtId="168" fontId="1" fillId="0" borderId="117" xfId="0" applyNumberFormat="1" applyFont="1" applyBorder="1" applyAlignment="1">
      <alignment horizontal="center" vertical="center"/>
    </xf>
    <xf numFmtId="168" fontId="1" fillId="0" borderId="29" xfId="0" applyNumberFormat="1" applyFont="1" applyBorder="1" applyAlignment="1">
      <alignment horizontal="center" vertical="center"/>
    </xf>
    <xf numFmtId="168" fontId="1" fillId="0" borderId="118" xfId="0" applyNumberFormat="1" applyFont="1" applyBorder="1" applyAlignment="1">
      <alignment horizontal="center" vertical="center"/>
    </xf>
    <xf numFmtId="168" fontId="1" fillId="0" borderId="103" xfId="0" applyNumberFormat="1" applyFont="1" applyBorder="1" applyAlignment="1">
      <alignment horizontal="center" vertical="center"/>
    </xf>
    <xf numFmtId="168" fontId="1" fillId="0" borderId="105" xfId="0" applyNumberFormat="1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0" fontId="1" fillId="0" borderId="120" xfId="0" applyFont="1" applyBorder="1" applyAlignment="1">
      <alignment horizontal="center" vertical="center"/>
    </xf>
    <xf numFmtId="168" fontId="1" fillId="0" borderId="23" xfId="0" applyNumberFormat="1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/>
    </xf>
    <xf numFmtId="0" fontId="1" fillId="0" borderId="122" xfId="0" applyFont="1" applyBorder="1"/>
    <xf numFmtId="0" fontId="1" fillId="0" borderId="21" xfId="0" applyFont="1" applyBorder="1"/>
    <xf numFmtId="0" fontId="3" fillId="2" borderId="123" xfId="0" applyFont="1" applyFill="1" applyBorder="1" applyAlignment="1">
      <alignment horizontal="center" vertical="center"/>
    </xf>
    <xf numFmtId="0" fontId="3" fillId="2" borderId="124" xfId="0" applyFont="1" applyFill="1" applyBorder="1" applyAlignment="1">
      <alignment horizontal="center" vertical="center"/>
    </xf>
    <xf numFmtId="0" fontId="3" fillId="2" borderId="124" xfId="0" applyFont="1" applyFill="1" applyBorder="1" applyAlignment="1">
      <alignment horizontal="center" vertical="center" wrapText="1"/>
    </xf>
    <xf numFmtId="0" fontId="3" fillId="2" borderId="125" xfId="0" applyFont="1" applyFill="1" applyBorder="1" applyAlignment="1">
      <alignment horizontal="center" vertical="center" wrapText="1"/>
    </xf>
    <xf numFmtId="0" fontId="1" fillId="0" borderId="126" xfId="0" applyFont="1" applyBorder="1" applyAlignment="1">
      <alignment horizontal="center" vertical="center"/>
    </xf>
    <xf numFmtId="0" fontId="1" fillId="0" borderId="127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129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32" xfId="0" applyFont="1" applyBorder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0" fontId="1" fillId="0" borderId="134" xfId="0" applyFont="1" applyBorder="1" applyAlignment="1">
      <alignment horizontal="center" vertical="center"/>
    </xf>
    <xf numFmtId="0" fontId="1" fillId="0" borderId="135" xfId="0" applyFont="1" applyBorder="1" applyAlignment="1">
      <alignment horizontal="center" vertical="center"/>
    </xf>
    <xf numFmtId="0" fontId="1" fillId="0" borderId="136" xfId="0" applyFont="1" applyBorder="1" applyAlignment="1">
      <alignment horizontal="center" vertical="center"/>
    </xf>
    <xf numFmtId="0" fontId="1" fillId="0" borderId="137" xfId="0" applyFont="1" applyBorder="1" applyAlignment="1">
      <alignment horizontal="center" vertical="center"/>
    </xf>
    <xf numFmtId="0" fontId="1" fillId="0" borderId="138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63" xfId="0" applyFont="1" applyBorder="1"/>
    <xf numFmtId="0" fontId="1" fillId="0" borderId="131" xfId="0" applyFont="1" applyBorder="1"/>
    <xf numFmtId="0" fontId="1" fillId="0" borderId="140" xfId="0" applyFont="1" applyBorder="1"/>
    <xf numFmtId="0" fontId="1" fillId="0" borderId="121" xfId="0" applyFont="1" applyBorder="1"/>
    <xf numFmtId="0" fontId="1" fillId="0" borderId="0" xfId="0" applyFont="1" applyBorder="1"/>
    <xf numFmtId="0" fontId="1" fillId="0" borderId="5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2" borderId="141" xfId="0" applyFont="1" applyFill="1" applyBorder="1" applyAlignment="1">
      <alignment horizontal="center" vertical="center"/>
    </xf>
    <xf numFmtId="0" fontId="1" fillId="0" borderId="142" xfId="0" applyFont="1" applyBorder="1" applyAlignment="1">
      <alignment horizontal="center" vertical="center"/>
    </xf>
    <xf numFmtId="0" fontId="1" fillId="0" borderId="69" xfId="0" applyFont="1" applyBorder="1"/>
    <xf numFmtId="0" fontId="1" fillId="0" borderId="0" xfId="0" applyFont="1" applyAlignment="1">
      <alignment wrapText="1"/>
    </xf>
    <xf numFmtId="0" fontId="1" fillId="0" borderId="143" xfId="0" applyFont="1" applyBorder="1" applyAlignment="1">
      <alignment horizontal="center" vertical="center"/>
    </xf>
    <xf numFmtId="0" fontId="3" fillId="2" borderId="144" xfId="0" applyFont="1" applyFill="1" applyBorder="1" applyAlignment="1">
      <alignment horizontal="center" wrapText="1"/>
    </xf>
    <xf numFmtId="0" fontId="3" fillId="2" borderId="96" xfId="0" applyFont="1" applyFill="1" applyBorder="1" applyAlignment="1">
      <alignment horizontal="center" wrapText="1"/>
    </xf>
    <xf numFmtId="0" fontId="3" fillId="2" borderId="97" xfId="0" applyFont="1" applyFill="1" applyBorder="1" applyAlignment="1">
      <alignment horizontal="center" wrapText="1"/>
    </xf>
    <xf numFmtId="169" fontId="3" fillId="2" borderId="95" xfId="0" applyNumberFormat="1" applyFont="1" applyFill="1" applyBorder="1" applyAlignment="1">
      <alignment horizontal="center" wrapText="1"/>
    </xf>
    <xf numFmtId="0" fontId="1" fillId="0" borderId="111" xfId="0" applyFont="1" applyBorder="1" applyAlignment="1">
      <alignment horizontal="center"/>
    </xf>
    <xf numFmtId="49" fontId="1" fillId="0" borderId="145" xfId="0" applyNumberFormat="1" applyFont="1" applyBorder="1" applyAlignment="1">
      <alignment horizontal="center"/>
    </xf>
    <xf numFmtId="0" fontId="1" fillId="0" borderId="146" xfId="0" applyFont="1" applyBorder="1" applyAlignment="1">
      <alignment horizontal="center"/>
    </xf>
    <xf numFmtId="169" fontId="1" fillId="0" borderId="101" xfId="0" applyNumberFormat="1" applyFont="1" applyBorder="1" applyAlignment="1">
      <alignment horizontal="center"/>
    </xf>
    <xf numFmtId="169" fontId="1" fillId="0" borderId="99" xfId="0" applyNumberFormat="1" applyFont="1" applyBorder="1" applyAlignment="1">
      <alignment horizontal="center"/>
    </xf>
    <xf numFmtId="0" fontId="1" fillId="0" borderId="106" xfId="0" applyFont="1" applyBorder="1" applyAlignment="1">
      <alignment horizontal="center"/>
    </xf>
    <xf numFmtId="0" fontId="1" fillId="0" borderId="147" xfId="0" applyFont="1" applyBorder="1" applyAlignment="1">
      <alignment horizontal="center"/>
    </xf>
    <xf numFmtId="49" fontId="1" fillId="0" borderId="148" xfId="0" applyNumberFormat="1" applyFont="1" applyBorder="1" applyAlignment="1">
      <alignment horizontal="center"/>
    </xf>
    <xf numFmtId="0" fontId="1" fillId="0" borderId="148" xfId="0" applyFont="1" applyBorder="1" applyAlignment="1">
      <alignment horizontal="center"/>
    </xf>
    <xf numFmtId="169" fontId="1" fillId="0" borderId="149" xfId="0" applyNumberFormat="1" applyFont="1" applyBorder="1" applyAlignment="1">
      <alignment horizontal="center"/>
    </xf>
    <xf numFmtId="169" fontId="1" fillId="0" borderId="150" xfId="0" applyNumberFormat="1" applyFont="1" applyBorder="1" applyAlignment="1">
      <alignment horizontal="center"/>
    </xf>
    <xf numFmtId="0" fontId="1" fillId="0" borderId="130" xfId="0" applyFont="1" applyBorder="1" applyAlignment="1">
      <alignment horizontal="center"/>
    </xf>
    <xf numFmtId="49" fontId="1" fillId="0" borderId="151" xfId="0" applyNumberFormat="1" applyFont="1" applyBorder="1" applyAlignment="1">
      <alignment horizontal="center"/>
    </xf>
    <xf numFmtId="0" fontId="1" fillId="0" borderId="151" xfId="0" applyFont="1" applyBorder="1" applyAlignment="1">
      <alignment horizontal="center"/>
    </xf>
    <xf numFmtId="169" fontId="1" fillId="0" borderId="10" xfId="0" applyNumberFormat="1" applyFont="1" applyBorder="1" applyAlignment="1">
      <alignment horizontal="center"/>
    </xf>
    <xf numFmtId="169" fontId="1" fillId="0" borderId="17" xfId="0" applyNumberFormat="1" applyFont="1" applyBorder="1" applyAlignment="1">
      <alignment horizontal="center"/>
    </xf>
    <xf numFmtId="49" fontId="1" fillId="0" borderId="138" xfId="0" applyNumberFormat="1" applyFont="1" applyBorder="1" applyAlignment="1">
      <alignment horizontal="center"/>
    </xf>
    <xf numFmtId="0" fontId="1" fillId="0" borderId="138" xfId="0" applyFont="1" applyBorder="1" applyAlignment="1">
      <alignment horizontal="center"/>
    </xf>
    <xf numFmtId="169" fontId="1" fillId="0" borderId="147" xfId="0" applyNumberFormat="1" applyFont="1" applyBorder="1" applyAlignment="1">
      <alignment horizontal="center"/>
    </xf>
    <xf numFmtId="0" fontId="1" fillId="0" borderId="152" xfId="0" applyFont="1" applyBorder="1" applyAlignment="1">
      <alignment horizontal="center"/>
    </xf>
    <xf numFmtId="0" fontId="1" fillId="0" borderId="153" xfId="0" applyFont="1" applyBorder="1" applyAlignment="1">
      <alignment horizontal="center"/>
    </xf>
    <xf numFmtId="49" fontId="1" fillId="0" borderId="154" xfId="0" applyNumberFormat="1" applyFont="1" applyBorder="1" applyAlignment="1">
      <alignment horizontal="center"/>
    </xf>
    <xf numFmtId="0" fontId="1" fillId="0" borderId="154" xfId="0" applyFont="1" applyBorder="1" applyAlignment="1">
      <alignment horizontal="center"/>
    </xf>
    <xf numFmtId="169" fontId="1" fillId="0" borderId="153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 vertical="center"/>
    </xf>
    <xf numFmtId="0" fontId="3" fillId="2" borderId="155" xfId="0" applyFont="1" applyFill="1" applyBorder="1" applyAlignment="1">
      <alignment horizontal="center" wrapText="1"/>
    </xf>
    <xf numFmtId="0" fontId="1" fillId="0" borderId="108" xfId="0" applyFont="1" applyBorder="1" applyAlignment="1">
      <alignment horizontal="center"/>
    </xf>
    <xf numFmtId="168" fontId="1" fillId="0" borderId="101" xfId="0" applyNumberFormat="1" applyFont="1" applyBorder="1" applyAlignment="1">
      <alignment horizontal="center"/>
    </xf>
    <xf numFmtId="0" fontId="1" fillId="0" borderId="140" xfId="0" applyFont="1" applyBorder="1" applyAlignment="1">
      <alignment horizontal="center"/>
    </xf>
    <xf numFmtId="168" fontId="1" fillId="0" borderId="149" xfId="0" applyNumberFormat="1" applyFont="1" applyBorder="1" applyAlignment="1">
      <alignment horizontal="center"/>
    </xf>
    <xf numFmtId="0" fontId="1" fillId="0" borderId="150" xfId="0" applyFont="1" applyBorder="1"/>
    <xf numFmtId="0" fontId="1" fillId="0" borderId="156" xfId="0" applyFont="1" applyBorder="1" applyAlignment="1">
      <alignment horizontal="center"/>
    </xf>
    <xf numFmtId="168" fontId="1" fillId="0" borderId="157" xfId="0" applyNumberFormat="1" applyFont="1" applyBorder="1" applyAlignment="1">
      <alignment horizontal="center"/>
    </xf>
    <xf numFmtId="0" fontId="1" fillId="0" borderId="96" xfId="0" applyFont="1" applyBorder="1" applyAlignment="1">
      <alignment horizontal="center"/>
    </xf>
    <xf numFmtId="168" fontId="1" fillId="0" borderId="15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159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3" fillId="2" borderId="17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0" fontId="0" fillId="2" borderId="16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7"/>
  <sheetViews>
    <sheetView topLeftCell="A3" workbookViewId="0">
      <selection activeCell="I8" sqref="I8"/>
    </sheetView>
  </sheetViews>
  <sheetFormatPr defaultColWidth="9.125" defaultRowHeight="18.75"/>
  <cols>
    <col min="1" max="4" width="9.125" style="126"/>
    <col min="5" max="5" width="27.625" style="126" customWidth="1"/>
    <col min="6" max="6" width="18.625" style="126" customWidth="1"/>
    <col min="7" max="7" width="15.75" style="126" customWidth="1"/>
    <col min="8" max="8" width="14.375" style="126" customWidth="1"/>
    <col min="9" max="9" width="12.625" style="126" customWidth="1"/>
    <col min="10" max="10" width="11.625" style="126" customWidth="1"/>
    <col min="11" max="11" width="18.125" style="126" customWidth="1"/>
    <col min="12" max="16384" width="9.125" style="126"/>
  </cols>
  <sheetData>
    <row r="1" spans="2:12">
      <c r="B1" s="249" t="s">
        <v>0</v>
      </c>
      <c r="C1" s="250"/>
      <c r="D1" s="250"/>
      <c r="E1" s="250"/>
    </row>
    <row r="2" spans="2:12">
      <c r="B2" s="250"/>
      <c r="C2" s="250"/>
      <c r="D2" s="250"/>
      <c r="E2" s="250"/>
    </row>
    <row r="3" spans="2:12">
      <c r="B3" s="250"/>
      <c r="C3" s="250"/>
      <c r="D3" s="250"/>
      <c r="E3" s="250"/>
    </row>
    <row r="5" spans="2:12">
      <c r="E5" s="248" t="s">
        <v>1</v>
      </c>
      <c r="F5" s="248"/>
      <c r="G5" s="248"/>
      <c r="H5" s="248"/>
      <c r="I5" s="248"/>
      <c r="J5" s="248"/>
      <c r="K5" s="248"/>
    </row>
    <row r="7" spans="2:12" ht="37.5">
      <c r="C7" s="207" t="s">
        <v>2</v>
      </c>
      <c r="D7" s="208" t="s">
        <v>3</v>
      </c>
      <c r="E7" s="209" t="s">
        <v>4</v>
      </c>
      <c r="F7" s="210" t="s">
        <v>5</v>
      </c>
      <c r="G7" s="210" t="s">
        <v>6</v>
      </c>
      <c r="H7" s="208" t="s">
        <v>7</v>
      </c>
      <c r="I7" s="209" t="s">
        <v>8</v>
      </c>
      <c r="J7" s="209" t="s">
        <v>9</v>
      </c>
      <c r="K7" s="236" t="s">
        <v>10</v>
      </c>
    </row>
    <row r="8" spans="2:12">
      <c r="C8" s="211">
        <v>1</v>
      </c>
      <c r="D8" s="212" t="s">
        <v>11</v>
      </c>
      <c r="E8" s="213" t="s">
        <v>12</v>
      </c>
      <c r="F8" s="214">
        <v>37356</v>
      </c>
      <c r="G8" s="215">
        <v>37376</v>
      </c>
      <c r="H8" s="216">
        <f>G8-F8+1</f>
        <v>21</v>
      </c>
      <c r="I8" s="213">
        <f>H8*100000</f>
        <v>2100000</v>
      </c>
      <c r="J8" s="237">
        <f>10%*I8</f>
        <v>210000</v>
      </c>
      <c r="K8" s="238">
        <f>I8+J8</f>
        <v>2310000</v>
      </c>
      <c r="L8" s="157"/>
    </row>
    <row r="9" spans="2:12">
      <c r="C9" s="217">
        <v>2</v>
      </c>
      <c r="D9" s="218" t="s">
        <v>13</v>
      </c>
      <c r="E9" s="219" t="s">
        <v>14</v>
      </c>
      <c r="F9" s="220">
        <v>37347</v>
      </c>
      <c r="G9" s="221">
        <v>37366</v>
      </c>
      <c r="H9" s="222">
        <f t="shared" ref="H9:H12" si="0">G9-F9+1</f>
        <v>20</v>
      </c>
      <c r="I9" s="239">
        <f t="shared" ref="I9:I12" si="1">H9*100000</f>
        <v>2000000</v>
      </c>
      <c r="J9" s="222">
        <f t="shared" ref="J9:J12" si="2">10%*I9</f>
        <v>200000</v>
      </c>
      <c r="K9" s="240">
        <f t="shared" ref="K9:K12" si="3">I9+J9</f>
        <v>2200000</v>
      </c>
      <c r="L9" s="241"/>
    </row>
    <row r="10" spans="2:12">
      <c r="C10" s="199">
        <v>3</v>
      </c>
      <c r="D10" s="223" t="s">
        <v>15</v>
      </c>
      <c r="E10" s="224" t="s">
        <v>16</v>
      </c>
      <c r="F10" s="225">
        <v>37347</v>
      </c>
      <c r="G10" s="226">
        <v>37351</v>
      </c>
      <c r="H10" s="216">
        <f t="shared" si="0"/>
        <v>5</v>
      </c>
      <c r="I10" s="224">
        <f t="shared" si="1"/>
        <v>500000</v>
      </c>
      <c r="J10" s="242">
        <f t="shared" si="2"/>
        <v>50000</v>
      </c>
      <c r="K10" s="243">
        <f t="shared" si="3"/>
        <v>550000</v>
      </c>
    </row>
    <row r="11" spans="2:12">
      <c r="C11" s="217">
        <v>4</v>
      </c>
      <c r="D11" s="227" t="s">
        <v>17</v>
      </c>
      <c r="E11" s="228" t="s">
        <v>18</v>
      </c>
      <c r="F11" s="229">
        <v>37366</v>
      </c>
      <c r="G11" s="229">
        <v>37371</v>
      </c>
      <c r="H11" s="230">
        <f t="shared" si="0"/>
        <v>6</v>
      </c>
      <c r="I11" s="228">
        <f t="shared" si="1"/>
        <v>600000</v>
      </c>
      <c r="J11" s="244">
        <f t="shared" si="2"/>
        <v>60000</v>
      </c>
      <c r="K11" s="245">
        <f t="shared" si="3"/>
        <v>660000</v>
      </c>
      <c r="L11" s="241"/>
    </row>
    <row r="12" spans="2:12">
      <c r="C12" s="231">
        <v>5</v>
      </c>
      <c r="D12" s="232" t="s">
        <v>19</v>
      </c>
      <c r="E12" s="233" t="s">
        <v>20</v>
      </c>
      <c r="F12" s="234">
        <v>37371</v>
      </c>
      <c r="G12" s="234">
        <v>37378</v>
      </c>
      <c r="H12" s="231">
        <f t="shared" si="0"/>
        <v>8</v>
      </c>
      <c r="I12" s="246">
        <f t="shared" si="1"/>
        <v>800000</v>
      </c>
      <c r="J12" s="230">
        <f t="shared" si="2"/>
        <v>80000</v>
      </c>
      <c r="K12" s="247">
        <f t="shared" si="3"/>
        <v>880000</v>
      </c>
      <c r="L12" s="157"/>
    </row>
    <row r="13" spans="2:12">
      <c r="C13" s="149"/>
      <c r="D13" s="149"/>
      <c r="E13" s="149"/>
      <c r="F13" s="149"/>
      <c r="G13" s="149"/>
      <c r="H13" s="149"/>
      <c r="I13" s="149"/>
      <c r="J13" s="149"/>
      <c r="K13" s="149"/>
    </row>
    <row r="14" spans="2:12">
      <c r="E14" s="198"/>
    </row>
    <row r="15" spans="2:12">
      <c r="E15" s="143" t="s">
        <v>21</v>
      </c>
      <c r="F15" s="143">
        <f>COUNT(C8:C12)</f>
        <v>5</v>
      </c>
    </row>
    <row r="16" spans="2:12">
      <c r="E16" s="143" t="s">
        <v>22</v>
      </c>
      <c r="F16" s="235">
        <f>MAX(K8:K12)</f>
        <v>2310000</v>
      </c>
    </row>
    <row r="17" spans="5:6">
      <c r="E17" s="143" t="s">
        <v>23</v>
      </c>
      <c r="F17" s="235">
        <f>MIN(K8:K12)</f>
        <v>550000</v>
      </c>
    </row>
  </sheetData>
  <mergeCells count="2">
    <mergeCell ref="E5:K5"/>
    <mergeCell ref="B1:E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opLeftCell="A4" zoomScale="70" zoomScaleNormal="70" workbookViewId="0">
      <selection activeCell="B8" sqref="B8"/>
    </sheetView>
  </sheetViews>
  <sheetFormatPr defaultColWidth="9.125" defaultRowHeight="18.75"/>
  <cols>
    <col min="1" max="1" width="9.125" style="126"/>
    <col min="2" max="2" width="20.75" style="126" customWidth="1"/>
    <col min="3" max="3" width="35.375" style="126" customWidth="1"/>
    <col min="4" max="4" width="29.375" style="126" customWidth="1"/>
    <col min="5" max="5" width="13" style="126" customWidth="1"/>
    <col min="6" max="6" width="14.625" style="126" customWidth="1"/>
    <col min="7" max="7" width="14.25" style="126" customWidth="1"/>
    <col min="8" max="8" width="12.625" style="126" customWidth="1"/>
    <col min="9" max="9" width="16.875" style="126" customWidth="1"/>
    <col min="10" max="10" width="16.75" style="126" customWidth="1"/>
    <col min="11" max="13" width="9.125" style="126"/>
    <col min="14" max="14" width="16.375" style="126" customWidth="1"/>
    <col min="15" max="16384" width="9.125" style="126"/>
  </cols>
  <sheetData>
    <row r="1" spans="1:14">
      <c r="B1" s="251" t="s">
        <v>24</v>
      </c>
      <c r="C1" s="252"/>
      <c r="D1" s="252"/>
    </row>
    <row r="2" spans="1:14">
      <c r="B2" s="252"/>
      <c r="C2" s="252"/>
      <c r="D2" s="252"/>
    </row>
    <row r="3" spans="1:14" ht="23.25" customHeight="1">
      <c r="B3" s="252"/>
      <c r="C3" s="252"/>
      <c r="D3" s="252"/>
    </row>
    <row r="4" spans="1:14" ht="24" customHeight="1"/>
    <row r="6" spans="1:14">
      <c r="D6" s="248" t="s">
        <v>25</v>
      </c>
      <c r="E6" s="248"/>
      <c r="F6" s="248"/>
      <c r="G6" s="248"/>
      <c r="H6" s="248"/>
    </row>
    <row r="7" spans="1:14">
      <c r="E7" s="173"/>
      <c r="I7" s="173"/>
    </row>
    <row r="8" spans="1:14" ht="37.5">
      <c r="A8" s="133"/>
      <c r="B8" s="174" t="s">
        <v>26</v>
      </c>
      <c r="C8" s="175" t="s">
        <v>27</v>
      </c>
      <c r="D8" s="176" t="s">
        <v>28</v>
      </c>
      <c r="E8" s="177" t="s">
        <v>29</v>
      </c>
      <c r="F8" s="176" t="s">
        <v>30</v>
      </c>
      <c r="G8" s="176" t="s">
        <v>31</v>
      </c>
      <c r="H8" s="176" t="s">
        <v>32</v>
      </c>
      <c r="I8" s="177" t="s">
        <v>33</v>
      </c>
      <c r="J8" s="202" t="s">
        <v>34</v>
      </c>
      <c r="K8" s="157"/>
    </row>
    <row r="9" spans="1:14" ht="15.75" customHeight="1">
      <c r="B9" s="178">
        <v>1</v>
      </c>
      <c r="C9" s="179" t="s">
        <v>35</v>
      </c>
      <c r="D9" s="86" t="s">
        <v>36</v>
      </c>
      <c r="E9" s="180">
        <v>9</v>
      </c>
      <c r="F9" s="180">
        <v>10</v>
      </c>
      <c r="G9" s="180">
        <f>ROUND(((F9*2+E9)/3),2)</f>
        <v>9.67</v>
      </c>
      <c r="H9" s="178">
        <f>RANK(G9,$G$9:$G$13,0)</f>
        <v>1</v>
      </c>
      <c r="I9" s="179" t="str">
        <f>IF(G9&lt;5,"thi lại","Lên lớp thẳng")</f>
        <v>Lên lớp thẳng</v>
      </c>
      <c r="J9" s="203">
        <f>IF(AND(G9&gt;=9,D9="A"),1000000,0)</f>
        <v>1000000</v>
      </c>
      <c r="K9" s="204"/>
      <c r="N9" s="205" t="s">
        <v>31</v>
      </c>
    </row>
    <row r="10" spans="1:14">
      <c r="B10" s="181">
        <v>2</v>
      </c>
      <c r="C10" s="182" t="s">
        <v>37</v>
      </c>
      <c r="D10" s="182" t="s">
        <v>36</v>
      </c>
      <c r="E10" s="181">
        <v>8</v>
      </c>
      <c r="F10" s="181">
        <v>10</v>
      </c>
      <c r="G10" s="181">
        <f t="shared" ref="G10:G13" si="0">ROUND(((F10*2+E10)/3),2)</f>
        <v>9.33</v>
      </c>
      <c r="H10" s="178">
        <f>RANK(G10,$G$9:$G$13,0)</f>
        <v>2</v>
      </c>
      <c r="I10" s="182" t="str">
        <f t="shared" ref="I10:I13" si="1">IF(G10&lt;5,"thi lại","Lên lớp thẳng")</f>
        <v>Lên lớp thẳng</v>
      </c>
      <c r="J10" s="206">
        <f t="shared" ref="J10:J13" si="2">IF(AND(G10&gt;=9,D10="A"),1000000,0)</f>
        <v>1000000</v>
      </c>
      <c r="N10" s="126" t="s">
        <v>38</v>
      </c>
    </row>
    <row r="11" spans="1:14">
      <c r="B11" s="183">
        <v>3</v>
      </c>
      <c r="C11" s="184" t="s">
        <v>16</v>
      </c>
      <c r="D11" s="185" t="s">
        <v>39</v>
      </c>
      <c r="E11" s="186">
        <v>5</v>
      </c>
      <c r="F11" s="186">
        <v>6</v>
      </c>
      <c r="G11" s="183">
        <f t="shared" si="0"/>
        <v>5.67</v>
      </c>
      <c r="H11" s="178">
        <f>RANK(G11,$G$9:$G$13,0)</f>
        <v>4</v>
      </c>
      <c r="I11" s="185" t="str">
        <f t="shared" si="1"/>
        <v>Lên lớp thẳng</v>
      </c>
      <c r="J11" s="185">
        <f t="shared" si="2"/>
        <v>0</v>
      </c>
      <c r="K11" s="204"/>
    </row>
    <row r="12" spans="1:14">
      <c r="B12" s="187">
        <v>4</v>
      </c>
      <c r="C12" s="182" t="s">
        <v>40</v>
      </c>
      <c r="D12" s="182" t="s">
        <v>36</v>
      </c>
      <c r="E12" s="188">
        <v>8</v>
      </c>
      <c r="F12" s="188">
        <v>2</v>
      </c>
      <c r="G12" s="187">
        <f t="shared" si="0"/>
        <v>4</v>
      </c>
      <c r="H12" s="178">
        <f>RANK(G12,$G$9:$G$13,0)</f>
        <v>5</v>
      </c>
      <c r="I12" s="182" t="str">
        <f>IF(G12&lt;5,"Thi lại","Lên lớp thẳng")</f>
        <v>Thi lại</v>
      </c>
      <c r="J12" s="182">
        <f t="shared" si="2"/>
        <v>0</v>
      </c>
    </row>
    <row r="13" spans="1:14">
      <c r="B13" s="189">
        <v>5</v>
      </c>
      <c r="C13" s="190" t="s">
        <v>41</v>
      </c>
      <c r="D13" s="191" t="s">
        <v>39</v>
      </c>
      <c r="E13" s="192">
        <v>10</v>
      </c>
      <c r="F13" s="193">
        <v>9</v>
      </c>
      <c r="G13" s="86">
        <f t="shared" si="0"/>
        <v>9.33</v>
      </c>
      <c r="H13" s="178">
        <f>RANK(G13,$G$9:$G$13,0)</f>
        <v>2</v>
      </c>
      <c r="I13" s="185" t="str">
        <f t="shared" si="1"/>
        <v>Lên lớp thẳng</v>
      </c>
      <c r="J13" s="185">
        <f t="shared" si="2"/>
        <v>0</v>
      </c>
      <c r="K13" s="204"/>
    </row>
    <row r="14" spans="1:14">
      <c r="B14" s="194"/>
      <c r="C14" s="195"/>
      <c r="D14" s="196"/>
      <c r="F14" s="197"/>
      <c r="G14" s="194"/>
      <c r="I14" s="195"/>
    </row>
    <row r="15" spans="1:14" ht="37.5">
      <c r="B15" s="174" t="s">
        <v>26</v>
      </c>
      <c r="C15" s="175" t="s">
        <v>27</v>
      </c>
      <c r="D15" s="176" t="s">
        <v>28</v>
      </c>
      <c r="E15" s="177" t="s">
        <v>29</v>
      </c>
      <c r="F15" s="176" t="s">
        <v>30</v>
      </c>
      <c r="G15" s="176" t="s">
        <v>31</v>
      </c>
      <c r="H15" s="176" t="s">
        <v>32</v>
      </c>
      <c r="I15" s="177" t="s">
        <v>33</v>
      </c>
      <c r="J15" s="202" t="s">
        <v>34</v>
      </c>
    </row>
    <row r="16" spans="1:14">
      <c r="B16" s="178">
        <v>1</v>
      </c>
      <c r="C16" s="179" t="s">
        <v>35</v>
      </c>
      <c r="D16" s="86" t="s">
        <v>36</v>
      </c>
      <c r="E16" s="180">
        <v>9</v>
      </c>
      <c r="F16" s="180">
        <v>10</v>
      </c>
      <c r="G16" s="180">
        <v>9.67</v>
      </c>
      <c r="H16" s="178">
        <v>1</v>
      </c>
      <c r="I16" s="179" t="s">
        <v>42</v>
      </c>
      <c r="J16" s="203">
        <v>1000000</v>
      </c>
    </row>
    <row r="17" spans="1:11">
      <c r="B17" s="181">
        <v>2</v>
      </c>
      <c r="C17" s="182" t="s">
        <v>37</v>
      </c>
      <c r="D17" s="182" t="s">
        <v>36</v>
      </c>
      <c r="E17" s="181">
        <v>8</v>
      </c>
      <c r="F17" s="181">
        <v>10</v>
      </c>
      <c r="G17" s="181">
        <v>9.33</v>
      </c>
      <c r="H17" s="178">
        <v>2</v>
      </c>
      <c r="I17" s="182" t="s">
        <v>42</v>
      </c>
      <c r="J17" s="206">
        <v>1000000</v>
      </c>
    </row>
    <row r="18" spans="1:11">
      <c r="A18" s="198"/>
      <c r="B18" s="189">
        <v>5</v>
      </c>
      <c r="C18" s="190" t="s">
        <v>41</v>
      </c>
      <c r="D18" s="191" t="s">
        <v>39</v>
      </c>
      <c r="E18" s="192">
        <v>10</v>
      </c>
      <c r="F18" s="193">
        <v>9</v>
      </c>
      <c r="G18" s="86">
        <v>9.33</v>
      </c>
      <c r="H18" s="178">
        <v>2</v>
      </c>
      <c r="I18" s="185" t="s">
        <v>42</v>
      </c>
      <c r="J18" s="185">
        <v>0</v>
      </c>
      <c r="K18" s="198"/>
    </row>
    <row r="19" spans="1:11">
      <c r="B19" s="198"/>
      <c r="C19" s="198"/>
      <c r="E19" s="198"/>
      <c r="F19" s="198"/>
      <c r="I19" s="198"/>
    </row>
    <row r="20" spans="1:11">
      <c r="B20" s="199" t="s">
        <v>43</v>
      </c>
      <c r="C20" s="200" t="s">
        <v>44</v>
      </c>
      <c r="D20" s="201" t="s">
        <v>45</v>
      </c>
      <c r="E20" s="157"/>
    </row>
    <row r="21" spans="1:11">
      <c r="B21" s="200">
        <f>COUNT(B9:B13)</f>
        <v>5</v>
      </c>
      <c r="C21" s="200">
        <f>MAX(G9:G13)</f>
        <v>9.67</v>
      </c>
      <c r="D21" s="200">
        <f>SUM(J9:J13)</f>
        <v>2000000</v>
      </c>
      <c r="E21" s="157"/>
    </row>
    <row r="22" spans="1:11">
      <c r="D22" s="149"/>
    </row>
  </sheetData>
  <mergeCells count="2">
    <mergeCell ref="D6:H6"/>
    <mergeCell ref="B1:D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21"/>
  <sheetViews>
    <sheetView topLeftCell="B1" workbookViewId="0">
      <selection activeCell="E5" sqref="E5"/>
    </sheetView>
  </sheetViews>
  <sheetFormatPr defaultColWidth="9.125" defaultRowHeight="18.75"/>
  <cols>
    <col min="1" max="3" width="9.125" style="126"/>
    <col min="4" max="4" width="15.25" style="126" customWidth="1"/>
    <col min="5" max="5" width="31.125" style="126" customWidth="1"/>
    <col min="6" max="6" width="21" style="126" customWidth="1"/>
    <col min="7" max="7" width="14.875" style="126" customWidth="1"/>
    <col min="8" max="8" width="12.375" style="126" customWidth="1"/>
    <col min="9" max="9" width="33.125" style="126" customWidth="1"/>
    <col min="10" max="10" width="11.875" style="126" customWidth="1"/>
    <col min="11" max="11" width="14.375" style="126" customWidth="1"/>
    <col min="12" max="12" width="9.125" style="126"/>
    <col min="13" max="13" width="18.125" style="126" customWidth="1"/>
    <col min="14" max="14" width="10.25" style="126" customWidth="1"/>
    <col min="15" max="16384" width="9.125" style="126"/>
  </cols>
  <sheetData>
    <row r="2" spans="2:15">
      <c r="F2" s="248" t="s">
        <v>46</v>
      </c>
      <c r="G2" s="248"/>
      <c r="H2" s="248"/>
      <c r="I2" s="248"/>
    </row>
    <row r="4" spans="2:15" ht="15" customHeight="1"/>
    <row r="5" spans="2:15">
      <c r="D5" s="127" t="s">
        <v>47</v>
      </c>
      <c r="E5" s="128">
        <v>180000</v>
      </c>
      <c r="I5" s="127" t="s">
        <v>48</v>
      </c>
      <c r="J5" s="127">
        <v>26</v>
      </c>
    </row>
    <row r="7" spans="2:15" ht="37.5">
      <c r="C7" s="129" t="s">
        <v>49</v>
      </c>
      <c r="D7" s="130" t="s">
        <v>27</v>
      </c>
      <c r="E7" s="131" t="s">
        <v>50</v>
      </c>
      <c r="F7" s="132" t="s">
        <v>51</v>
      </c>
      <c r="G7" s="132" t="s">
        <v>52</v>
      </c>
      <c r="H7" s="132" t="s">
        <v>53</v>
      </c>
      <c r="I7" s="132" t="s">
        <v>54</v>
      </c>
      <c r="J7" s="132" t="s">
        <v>55</v>
      </c>
      <c r="K7" s="132" t="s">
        <v>56</v>
      </c>
      <c r="L7" s="132" t="s">
        <v>57</v>
      </c>
      <c r="M7" s="152" t="s">
        <v>58</v>
      </c>
      <c r="N7" s="153" t="s">
        <v>59</v>
      </c>
    </row>
    <row r="8" spans="2:15">
      <c r="B8" s="133"/>
      <c r="C8" s="134">
        <v>1</v>
      </c>
      <c r="D8" s="135" t="s">
        <v>35</v>
      </c>
      <c r="E8" s="135" t="s">
        <v>12</v>
      </c>
      <c r="F8" s="135">
        <v>3</v>
      </c>
      <c r="G8" s="136">
        <v>10</v>
      </c>
      <c r="H8" s="136">
        <v>26</v>
      </c>
      <c r="I8" s="154">
        <f>F8*$E$5</f>
        <v>540000</v>
      </c>
      <c r="J8" s="136">
        <f>IF(G8&gt;7,500000,IF(G8&gt;=3,350000,0))</f>
        <v>500000</v>
      </c>
      <c r="K8" s="136">
        <f>IF((H8&lt;$J$5),($J$5-H8)*35000,0)</f>
        <v>0</v>
      </c>
      <c r="L8" s="135">
        <f>IF((H8&gt;$J$5),(H8-$J$5)*30000,0)</f>
        <v>0</v>
      </c>
      <c r="M8" s="155">
        <f>I8+J8+L8-K8</f>
        <v>1040000</v>
      </c>
      <c r="N8" s="156" t="str">
        <f>IF(($J$5-H8)&gt;10,"thôi việc","")</f>
        <v/>
      </c>
      <c r="O8" s="157"/>
    </row>
    <row r="9" spans="2:15">
      <c r="C9" s="137">
        <v>2</v>
      </c>
      <c r="D9" s="138" t="s">
        <v>41</v>
      </c>
      <c r="E9" s="138" t="s">
        <v>12</v>
      </c>
      <c r="F9" s="139">
        <v>2</v>
      </c>
      <c r="G9" s="140">
        <v>5</v>
      </c>
      <c r="H9" s="141">
        <v>26</v>
      </c>
      <c r="I9" s="158">
        <f>F9*$E$5</f>
        <v>360000</v>
      </c>
      <c r="J9" s="159">
        <f t="shared" ref="J9:J12" si="0">IF(G9&gt;7,500000,IF(G9&gt;=3,350000,0))</f>
        <v>350000</v>
      </c>
      <c r="K9" s="160">
        <f>IF((H9&lt;$J$5),($J$5-H9)*35000,0)</f>
        <v>0</v>
      </c>
      <c r="L9" s="161">
        <f>IF((H9&gt;$J$5),(H9-$J$5)*30000,0)</f>
        <v>0</v>
      </c>
      <c r="M9" s="162">
        <f t="shared" ref="M9:M12" si="1">I9+J9+L9-K9</f>
        <v>710000</v>
      </c>
      <c r="N9" s="137" t="str">
        <f>IF(($J$5-H9)&gt;10,"thôi việc","")</f>
        <v/>
      </c>
      <c r="O9" s="157"/>
    </row>
    <row r="10" spans="2:15">
      <c r="C10" s="142">
        <v>3</v>
      </c>
      <c r="D10" s="104" t="s">
        <v>60</v>
      </c>
      <c r="E10" s="138" t="s">
        <v>61</v>
      </c>
      <c r="F10" s="138">
        <v>2.5</v>
      </c>
      <c r="G10" s="143">
        <v>6</v>
      </c>
      <c r="H10" s="144">
        <v>27</v>
      </c>
      <c r="I10" s="163">
        <f>F10*$E$5</f>
        <v>450000</v>
      </c>
      <c r="J10" s="142">
        <f t="shared" si="0"/>
        <v>350000</v>
      </c>
      <c r="K10" s="143">
        <f>IF((H10&lt;$J$5),($J$5-H10)*35000,0)</f>
        <v>0</v>
      </c>
      <c r="L10" s="138">
        <f>IF((H10&gt;$J$5),(H10-$J$5)*30000,0)</f>
        <v>30000</v>
      </c>
      <c r="M10" s="164">
        <f t="shared" si="1"/>
        <v>830000</v>
      </c>
      <c r="N10" s="142" t="str">
        <f>IF(($J$5-H10)&gt;10,"thôi việc","")</f>
        <v/>
      </c>
    </row>
    <row r="11" spans="2:15">
      <c r="C11" s="137">
        <v>4</v>
      </c>
      <c r="D11" s="145" t="s">
        <v>62</v>
      </c>
      <c r="E11" s="138" t="s">
        <v>61</v>
      </c>
      <c r="F11" s="138">
        <v>3</v>
      </c>
      <c r="G11" s="143">
        <v>8</v>
      </c>
      <c r="H11" s="146">
        <v>15</v>
      </c>
      <c r="I11" s="165">
        <f>F11*$E$5</f>
        <v>540000</v>
      </c>
      <c r="J11" s="159">
        <f t="shared" si="0"/>
        <v>500000</v>
      </c>
      <c r="K11" s="141">
        <f>IF((H11&lt;$J$5),($J$5-H11)*35000,0)</f>
        <v>385000</v>
      </c>
      <c r="L11" s="138">
        <f>IF((H11&gt;$J$5),(H11-$J$5)*30000,0)</f>
        <v>0</v>
      </c>
      <c r="M11" s="166">
        <f t="shared" si="1"/>
        <v>655000</v>
      </c>
      <c r="N11" s="137" t="str">
        <f>IF(($J$5-H11)&gt;10,"thôi việc","")</f>
        <v>thôi việc</v>
      </c>
      <c r="O11" s="157"/>
    </row>
    <row r="12" spans="2:15">
      <c r="C12" s="142">
        <v>5</v>
      </c>
      <c r="D12" s="147" t="s">
        <v>14</v>
      </c>
      <c r="E12" s="147" t="s">
        <v>12</v>
      </c>
      <c r="F12" s="148">
        <v>2</v>
      </c>
      <c r="G12" s="140">
        <v>1</v>
      </c>
      <c r="H12" s="146">
        <v>28</v>
      </c>
      <c r="I12" s="167">
        <f>F12*$E$5</f>
        <v>360000</v>
      </c>
      <c r="J12" s="168">
        <f t="shared" si="0"/>
        <v>0</v>
      </c>
      <c r="K12" s="156">
        <f>IF((H12&lt;$J$5),($J$5-H12)*35000,0)</f>
        <v>0</v>
      </c>
      <c r="L12" s="169">
        <f>IF((H12&gt;$J$5),(H12-$J$5)*30000,0)</f>
        <v>60000</v>
      </c>
      <c r="M12" s="170">
        <f t="shared" si="1"/>
        <v>420000</v>
      </c>
      <c r="N12" s="171" t="str">
        <f>IF(($J$5-H12)&gt;10,"thôi việc","")</f>
        <v/>
      </c>
      <c r="O12" s="157"/>
    </row>
    <row r="13" spans="2:15">
      <c r="C13" s="149"/>
      <c r="G13" s="149"/>
      <c r="I13" s="149"/>
      <c r="J13" s="149"/>
      <c r="K13" s="149"/>
      <c r="L13" s="149"/>
      <c r="M13" s="149"/>
      <c r="N13" s="149"/>
    </row>
    <row r="15" spans="2:15">
      <c r="E15" s="253" t="s">
        <v>63</v>
      </c>
      <c r="F15" s="254"/>
    </row>
    <row r="16" spans="2:15">
      <c r="E16" s="150" t="s">
        <v>64</v>
      </c>
      <c r="F16" s="151">
        <f>SUM(I8:I12)</f>
        <v>2250000</v>
      </c>
    </row>
    <row r="17" spans="5:11">
      <c r="E17" s="150" t="s">
        <v>65</v>
      </c>
      <c r="F17" s="150">
        <f>SUM(J8:J12)</f>
        <v>1700000</v>
      </c>
    </row>
    <row r="18" spans="5:11">
      <c r="E18" s="150" t="s">
        <v>66</v>
      </c>
      <c r="F18" s="150">
        <f>SUM(K8:K12)</f>
        <v>385000</v>
      </c>
    </row>
    <row r="19" spans="5:11">
      <c r="E19" s="150" t="s">
        <v>67</v>
      </c>
      <c r="F19" s="150">
        <f>SUM(L8:L12)</f>
        <v>90000</v>
      </c>
      <c r="K19" s="172"/>
    </row>
    <row r="20" spans="5:11">
      <c r="E20" s="150" t="s">
        <v>68</v>
      </c>
      <c r="F20" s="151">
        <f>SUM(M8:M12)</f>
        <v>3655000</v>
      </c>
    </row>
    <row r="21" spans="5:11">
      <c r="E21" s="150" t="s">
        <v>69</v>
      </c>
      <c r="F21" s="151">
        <f>AVERAGE(I8:I12)</f>
        <v>450000</v>
      </c>
    </row>
  </sheetData>
  <mergeCells count="2">
    <mergeCell ref="F2:I2"/>
    <mergeCell ref="E15:F1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23"/>
  <sheetViews>
    <sheetView topLeftCell="E1" zoomScale="85" zoomScaleNormal="85" workbookViewId="0">
      <selection activeCell="I21" sqref="I21"/>
    </sheetView>
  </sheetViews>
  <sheetFormatPr defaultColWidth="9.125" defaultRowHeight="18.75"/>
  <cols>
    <col min="1" max="2" width="9.125" style="74"/>
    <col min="3" max="3" width="18.875" style="74" customWidth="1"/>
    <col min="4" max="4" width="13.75" style="74" customWidth="1"/>
    <col min="5" max="5" width="14.75" style="74" customWidth="1"/>
    <col min="6" max="7" width="15" style="74" customWidth="1"/>
    <col min="8" max="8" width="18.875" style="74" customWidth="1"/>
    <col min="9" max="9" width="17.25" style="74" customWidth="1"/>
    <col min="10" max="10" width="19.75" style="74" customWidth="1"/>
    <col min="11" max="11" width="17.25" style="74" customWidth="1"/>
    <col min="12" max="12" width="18.75" style="74" customWidth="1"/>
    <col min="13" max="13" width="16.625" style="74" customWidth="1"/>
    <col min="14" max="16384" width="9.125" style="74"/>
  </cols>
  <sheetData>
    <row r="3" spans="3:13">
      <c r="F3" s="255" t="s">
        <v>70</v>
      </c>
      <c r="G3" s="255"/>
      <c r="H3" s="255"/>
      <c r="I3" s="255"/>
    </row>
    <row r="4" spans="3:13">
      <c r="K4" s="74" t="s">
        <v>71</v>
      </c>
      <c r="L4" s="105">
        <v>14500</v>
      </c>
      <c r="M4" s="106"/>
    </row>
    <row r="5" spans="3:13" ht="37.5">
      <c r="C5" s="75" t="s">
        <v>72</v>
      </c>
      <c r="D5" s="76" t="s">
        <v>73</v>
      </c>
      <c r="E5" s="76" t="s">
        <v>74</v>
      </c>
      <c r="F5" s="76" t="s">
        <v>75</v>
      </c>
      <c r="G5" s="77" t="s">
        <v>76</v>
      </c>
      <c r="H5" s="77" t="s">
        <v>77</v>
      </c>
      <c r="I5" s="107" t="s">
        <v>78</v>
      </c>
      <c r="J5" s="77" t="s">
        <v>79</v>
      </c>
      <c r="K5" s="77" t="s">
        <v>80</v>
      </c>
      <c r="L5" s="77" t="s">
        <v>81</v>
      </c>
      <c r="M5" s="108" t="s">
        <v>82</v>
      </c>
    </row>
    <row r="6" spans="3:13">
      <c r="C6" s="78" t="s">
        <v>83</v>
      </c>
      <c r="D6" s="79" t="str">
        <f>LEFT(C6,2)</f>
        <v>TV</v>
      </c>
      <c r="E6" s="80" t="str">
        <f>MID(C6,3,2)&amp;"/"&amp;MID(C6,5,4)</f>
        <v>09/2002</v>
      </c>
      <c r="F6" s="81" t="str">
        <f>RIGHT(C6,2)</f>
        <v>SN</v>
      </c>
      <c r="G6" s="82" t="str">
        <f>VLOOKUP(D6,$C$15:$D$20,2,0)</f>
        <v>Ti vi</v>
      </c>
      <c r="H6" s="80" t="str">
        <f>VLOOKUP(F6,$F$15:$G$21,2,0)</f>
        <v>Sony</v>
      </c>
      <c r="I6" s="109">
        <v>100</v>
      </c>
      <c r="J6" s="80">
        <v>200</v>
      </c>
      <c r="K6" s="110">
        <f>I6*J6</f>
        <v>20000</v>
      </c>
      <c r="L6" s="111">
        <f>K6*$L$4</f>
        <v>290000000</v>
      </c>
      <c r="M6" s="78" t="str">
        <f>IF(OR(H6="Sony",H6="Sharp"),"Có","")</f>
        <v>Có</v>
      </c>
    </row>
    <row r="7" spans="3:13">
      <c r="C7" s="83" t="s">
        <v>84</v>
      </c>
      <c r="D7" s="84" t="str">
        <f t="shared" ref="D7:D13" si="0">LEFT(C7,2)</f>
        <v>ML</v>
      </c>
      <c r="E7" s="85" t="str">
        <f t="shared" ref="E7:E13" si="1">MID(C7,3,2)&amp;"/"&amp;MID(C7,5,4)</f>
        <v>08/2002</v>
      </c>
      <c r="F7" s="86" t="str">
        <f t="shared" ref="F7:F13" si="2">RIGHT(C7,2)</f>
        <v>PN</v>
      </c>
      <c r="G7" s="87" t="str">
        <f t="shared" ref="G7:G13" si="3">VLOOKUP(D7,$C$15:$D$20,2,0)</f>
        <v>Máy lạnh</v>
      </c>
      <c r="H7" s="87" t="str">
        <f t="shared" ref="H7:H13" si="4">VLOOKUP(F7,$F$15:$G$21,2,0)</f>
        <v>Panasonic</v>
      </c>
      <c r="I7" s="86">
        <v>10</v>
      </c>
      <c r="J7" s="112">
        <v>500</v>
      </c>
      <c r="K7" s="113">
        <f t="shared" ref="K7:K13" si="5">I7*J7</f>
        <v>5000</v>
      </c>
      <c r="L7" s="114">
        <f t="shared" ref="L7:L13" si="6">K7*$L$4</f>
        <v>72500000</v>
      </c>
      <c r="M7" s="87" t="str">
        <f t="shared" ref="M7:M13" si="7">IF(OR(H7="Sony",H7="Sharp"),"Có","")</f>
        <v/>
      </c>
    </row>
    <row r="8" spans="3:13">
      <c r="C8" s="83" t="s">
        <v>85</v>
      </c>
      <c r="D8" s="84" t="str">
        <f t="shared" si="0"/>
        <v>TL</v>
      </c>
      <c r="E8" s="85" t="str">
        <f t="shared" si="1"/>
        <v>07/2002</v>
      </c>
      <c r="F8" s="78" t="str">
        <f t="shared" si="2"/>
        <v>TB</v>
      </c>
      <c r="G8" s="87" t="str">
        <f t="shared" si="3"/>
        <v>Tủ lạnh</v>
      </c>
      <c r="H8" s="88" t="str">
        <f t="shared" si="4"/>
        <v>Toshiba</v>
      </c>
      <c r="I8" s="115">
        <v>50</v>
      </c>
      <c r="J8" s="115">
        <v>350</v>
      </c>
      <c r="K8" s="113">
        <f t="shared" si="5"/>
        <v>17500</v>
      </c>
      <c r="L8" s="116">
        <f t="shared" si="6"/>
        <v>253750000</v>
      </c>
      <c r="M8" s="87" t="str">
        <f t="shared" si="7"/>
        <v/>
      </c>
    </row>
    <row r="9" spans="3:13">
      <c r="C9" s="83" t="s">
        <v>86</v>
      </c>
      <c r="D9" s="84" t="str">
        <f t="shared" si="0"/>
        <v>MG</v>
      </c>
      <c r="E9" s="85" t="str">
        <f t="shared" si="1"/>
        <v>09/2002</v>
      </c>
      <c r="F9" s="78" t="str">
        <f t="shared" si="2"/>
        <v>SY</v>
      </c>
      <c r="G9" s="89" t="str">
        <f t="shared" si="3"/>
        <v>Máy giặt</v>
      </c>
      <c r="H9" s="85" t="str">
        <f t="shared" si="4"/>
        <v>SanYo</v>
      </c>
      <c r="I9" s="115">
        <v>50</v>
      </c>
      <c r="J9" s="115">
        <v>400</v>
      </c>
      <c r="K9" s="113">
        <f t="shared" si="5"/>
        <v>20000</v>
      </c>
      <c r="L9" s="114">
        <f t="shared" si="6"/>
        <v>290000000</v>
      </c>
      <c r="M9" s="88" t="str">
        <f t="shared" si="7"/>
        <v/>
      </c>
    </row>
    <row r="10" spans="3:13">
      <c r="C10" s="84" t="s">
        <v>87</v>
      </c>
      <c r="D10" s="90" t="str">
        <f t="shared" si="0"/>
        <v>TV</v>
      </c>
      <c r="E10" s="85" t="str">
        <f t="shared" si="1"/>
        <v>07/2002</v>
      </c>
      <c r="F10" s="78" t="str">
        <f t="shared" si="2"/>
        <v>PN</v>
      </c>
      <c r="G10" s="85" t="str">
        <f t="shared" si="3"/>
        <v>Ti vi</v>
      </c>
      <c r="H10" s="85" t="str">
        <f t="shared" si="4"/>
        <v>Panasonic</v>
      </c>
      <c r="I10" s="115">
        <v>200</v>
      </c>
      <c r="J10" s="115">
        <v>250</v>
      </c>
      <c r="K10" s="90">
        <f t="shared" si="5"/>
        <v>50000</v>
      </c>
      <c r="L10" s="116">
        <f t="shared" si="6"/>
        <v>725000000</v>
      </c>
      <c r="M10" s="87" t="str">
        <f t="shared" si="7"/>
        <v/>
      </c>
    </row>
    <row r="11" spans="3:13">
      <c r="C11" s="88" t="s">
        <v>88</v>
      </c>
      <c r="D11" s="90" t="str">
        <f t="shared" si="0"/>
        <v>VD</v>
      </c>
      <c r="E11" s="85" t="str">
        <f t="shared" si="1"/>
        <v>08/2002</v>
      </c>
      <c r="F11" s="78" t="str">
        <f t="shared" si="2"/>
        <v>SN</v>
      </c>
      <c r="G11" s="85" t="str">
        <f t="shared" si="3"/>
        <v>Đầu Video</v>
      </c>
      <c r="H11" s="85" t="str">
        <f t="shared" si="4"/>
        <v>Sony</v>
      </c>
      <c r="I11" s="115">
        <v>150</v>
      </c>
      <c r="J11" s="88">
        <v>120</v>
      </c>
      <c r="K11" s="84">
        <f t="shared" si="5"/>
        <v>18000</v>
      </c>
      <c r="L11" s="116">
        <f t="shared" si="6"/>
        <v>261000000</v>
      </c>
      <c r="M11" s="87" t="str">
        <f t="shared" si="7"/>
        <v>Có</v>
      </c>
    </row>
    <row r="12" spans="3:13">
      <c r="C12" s="83" t="s">
        <v>89</v>
      </c>
      <c r="D12" s="90" t="str">
        <f t="shared" si="0"/>
        <v>TL</v>
      </c>
      <c r="E12" s="85" t="str">
        <f t="shared" si="1"/>
        <v>08/2002</v>
      </c>
      <c r="F12" s="81" t="str">
        <f t="shared" si="2"/>
        <v>EL</v>
      </c>
      <c r="G12" s="85" t="str">
        <f t="shared" si="3"/>
        <v>Tủ lạnh</v>
      </c>
      <c r="H12" s="87" t="str">
        <f t="shared" si="4"/>
        <v>Electrolux</v>
      </c>
      <c r="I12" s="88">
        <v>10</v>
      </c>
      <c r="J12" s="112">
        <v>500</v>
      </c>
      <c r="K12" s="84">
        <f t="shared" si="5"/>
        <v>5000</v>
      </c>
      <c r="L12" s="117">
        <f t="shared" si="6"/>
        <v>72500000</v>
      </c>
      <c r="M12" s="88" t="str">
        <f t="shared" si="7"/>
        <v/>
      </c>
    </row>
    <row r="13" spans="3:13">
      <c r="C13" s="91" t="s">
        <v>90</v>
      </c>
      <c r="D13" s="91" t="str">
        <f t="shared" si="0"/>
        <v>TL</v>
      </c>
      <c r="E13" s="92" t="str">
        <f t="shared" si="1"/>
        <v>07/2002</v>
      </c>
      <c r="F13" s="93" t="str">
        <f t="shared" si="2"/>
        <v>SP</v>
      </c>
      <c r="G13" s="92" t="str">
        <f t="shared" si="3"/>
        <v>Tủ lạnh</v>
      </c>
      <c r="H13" s="94" t="str">
        <f t="shared" si="4"/>
        <v>Sharp</v>
      </c>
      <c r="I13" s="118">
        <v>50</v>
      </c>
      <c r="J13" s="118">
        <v>300</v>
      </c>
      <c r="K13" s="119">
        <f t="shared" si="5"/>
        <v>15000</v>
      </c>
      <c r="L13" s="120">
        <f t="shared" si="6"/>
        <v>217500000</v>
      </c>
      <c r="M13" s="92" t="str">
        <f t="shared" si="7"/>
        <v>Có</v>
      </c>
    </row>
    <row r="14" spans="3:13"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</row>
    <row r="15" spans="3:13">
      <c r="C15" s="95" t="s">
        <v>91</v>
      </c>
      <c r="D15" s="95" t="s">
        <v>92</v>
      </c>
      <c r="F15" s="95" t="s">
        <v>93</v>
      </c>
      <c r="G15" s="95" t="s">
        <v>94</v>
      </c>
      <c r="I15" s="121" t="s">
        <v>95</v>
      </c>
      <c r="J15" s="86"/>
    </row>
    <row r="16" spans="3:13">
      <c r="C16" s="96" t="s">
        <v>96</v>
      </c>
      <c r="D16" s="97" t="s">
        <v>97</v>
      </c>
      <c r="F16" s="96" t="s">
        <v>98</v>
      </c>
      <c r="G16" s="97" t="s">
        <v>99</v>
      </c>
      <c r="I16" s="122" t="s">
        <v>100</v>
      </c>
      <c r="J16" s="123">
        <f>SUM(K6:K13)</f>
        <v>150500</v>
      </c>
    </row>
    <row r="17" spans="2:10">
      <c r="C17" s="98" t="s">
        <v>101</v>
      </c>
      <c r="D17" s="99" t="s">
        <v>102</v>
      </c>
      <c r="F17" s="98" t="s">
        <v>103</v>
      </c>
      <c r="G17" s="100" t="s">
        <v>104</v>
      </c>
      <c r="I17" s="124" t="s">
        <v>105</v>
      </c>
      <c r="J17" s="125">
        <f>SUM(L6:L13)</f>
        <v>2182250000</v>
      </c>
    </row>
    <row r="18" spans="2:10">
      <c r="C18" s="98" t="s">
        <v>106</v>
      </c>
      <c r="D18" s="99" t="s">
        <v>107</v>
      </c>
      <c r="F18" s="98" t="s">
        <v>108</v>
      </c>
      <c r="G18" s="101" t="s">
        <v>109</v>
      </c>
    </row>
    <row r="19" spans="2:10">
      <c r="C19" s="98" t="s">
        <v>110</v>
      </c>
      <c r="D19" s="99" t="s">
        <v>111</v>
      </c>
      <c r="F19" s="98" t="s">
        <v>112</v>
      </c>
      <c r="G19" s="99" t="s">
        <v>113</v>
      </c>
    </row>
    <row r="20" spans="2:10">
      <c r="C20" s="102" t="s">
        <v>114</v>
      </c>
      <c r="D20" s="103" t="s">
        <v>115</v>
      </c>
      <c r="F20" s="98" t="s">
        <v>116</v>
      </c>
      <c r="G20" s="99" t="s">
        <v>117</v>
      </c>
    </row>
    <row r="21" spans="2:10">
      <c r="F21" s="102" t="s">
        <v>118</v>
      </c>
      <c r="G21" s="103" t="s">
        <v>119</v>
      </c>
    </row>
    <row r="23" spans="2:10">
      <c r="B23" s="104"/>
    </row>
  </sheetData>
  <mergeCells count="1">
    <mergeCell ref="F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N31"/>
  <sheetViews>
    <sheetView topLeftCell="A4" workbookViewId="0">
      <selection activeCell="H23" sqref="H23"/>
    </sheetView>
  </sheetViews>
  <sheetFormatPr defaultColWidth="9" defaultRowHeight="14.25"/>
  <cols>
    <col min="1" max="2" width="9" style="1"/>
    <col min="3" max="3" width="16.5" style="1" customWidth="1"/>
    <col min="4" max="4" width="9" style="1"/>
    <col min="5" max="5" width="14.75" style="1" customWidth="1"/>
    <col min="6" max="7" width="9" style="1"/>
    <col min="8" max="8" width="13.25" style="1" customWidth="1"/>
    <col min="9" max="10" width="9" style="1"/>
    <col min="11" max="11" width="14.75" style="1" customWidth="1"/>
    <col min="12" max="13" width="9" style="1"/>
    <col min="14" max="14" width="15.875" style="1" customWidth="1"/>
    <col min="15" max="16384" width="9" style="1"/>
  </cols>
  <sheetData>
    <row r="4" spans="2:14" ht="28.5">
      <c r="B4" s="54" t="s">
        <v>120</v>
      </c>
      <c r="C4" s="38" t="s">
        <v>121</v>
      </c>
      <c r="D4" s="38" t="s">
        <v>122</v>
      </c>
      <c r="E4" s="38" t="s">
        <v>123</v>
      </c>
      <c r="F4" s="38" t="s">
        <v>124</v>
      </c>
      <c r="G4" s="38" t="s">
        <v>125</v>
      </c>
      <c r="H4" s="38" t="s">
        <v>126</v>
      </c>
      <c r="I4" s="38" t="s">
        <v>8</v>
      </c>
      <c r="J4" s="38" t="s">
        <v>127</v>
      </c>
      <c r="K4" s="38" t="s">
        <v>128</v>
      </c>
      <c r="L4" s="39" t="s">
        <v>74</v>
      </c>
    </row>
    <row r="5" spans="2:14">
      <c r="B5" s="55">
        <v>1</v>
      </c>
      <c r="C5" s="55" t="s">
        <v>129</v>
      </c>
      <c r="D5" s="24" t="str">
        <f t="shared" ref="D5:D14" si="0">LEFT(C5,1)&amp;RIGHT(C5,3)</f>
        <v>B001</v>
      </c>
      <c r="E5" s="56" t="str">
        <f t="shared" ref="E5:E14" si="1">VLOOKUP(D5,$B$17:$E$24,2,0)</f>
        <v>Bột giặt Viso</v>
      </c>
      <c r="F5" s="56" t="str">
        <f t="shared" ref="F5:F14" si="2">VLOOKUP(D5,$B$17:$E$24,3,0)</f>
        <v>Kg</v>
      </c>
      <c r="G5" s="55">
        <f t="shared" ref="G5:G14" si="3">VLOOKUP(D5,$B$17:$E$24,4,0)</f>
        <v>8500</v>
      </c>
      <c r="H5" s="56">
        <v>3</v>
      </c>
      <c r="I5" s="56">
        <f t="shared" ref="I5:I14" si="4">H5*IF(H5&gt;15,90%*G5,G5)</f>
        <v>25500</v>
      </c>
      <c r="J5" s="55" t="str">
        <f t="shared" ref="J5:J14" si="5">LEFT(C5,1)</f>
        <v>B</v>
      </c>
      <c r="K5" s="55" t="str">
        <f t="shared" ref="K5:K14" si="6">VLOOKUP(J5,$G$17:$H$20,2,0)</f>
        <v>Bột giặt</v>
      </c>
      <c r="L5" s="24" t="str">
        <f t="shared" ref="L5:L14" si="7">MID(C5,2,2)&amp;"/20"&amp;MID(C5,4,2)</f>
        <v>08/2000</v>
      </c>
    </row>
    <row r="6" spans="2:14">
      <c r="B6" s="31">
        <v>2</v>
      </c>
      <c r="C6" s="31" t="s">
        <v>130</v>
      </c>
      <c r="D6" s="24" t="str">
        <f t="shared" si="0"/>
        <v>B002</v>
      </c>
      <c r="E6" s="33" t="str">
        <f t="shared" si="1"/>
        <v>Bột giặt Omo</v>
      </c>
      <c r="F6" s="33" t="str">
        <f t="shared" si="2"/>
        <v>Kg</v>
      </c>
      <c r="G6" s="31">
        <f t="shared" si="3"/>
        <v>12000</v>
      </c>
      <c r="H6" s="33">
        <v>5</v>
      </c>
      <c r="I6" s="33">
        <f t="shared" si="4"/>
        <v>60000</v>
      </c>
      <c r="J6" s="31" t="str">
        <f t="shared" si="5"/>
        <v>B</v>
      </c>
      <c r="K6" s="31" t="str">
        <f t="shared" si="6"/>
        <v>Bột giặt</v>
      </c>
      <c r="L6" s="24" t="str">
        <f t="shared" si="7"/>
        <v>08/2000</v>
      </c>
    </row>
    <row r="7" spans="2:14">
      <c r="B7" s="57">
        <v>3</v>
      </c>
      <c r="C7" s="57" t="s">
        <v>131</v>
      </c>
      <c r="D7" s="58" t="str">
        <f t="shared" si="0"/>
        <v>B001</v>
      </c>
      <c r="E7" s="59" t="str">
        <f t="shared" si="1"/>
        <v>Bột giặt Viso</v>
      </c>
      <c r="F7" s="59" t="str">
        <f t="shared" si="2"/>
        <v>Kg</v>
      </c>
      <c r="G7" s="57">
        <f t="shared" si="3"/>
        <v>8500</v>
      </c>
      <c r="H7" s="59">
        <v>5</v>
      </c>
      <c r="I7" s="59">
        <f t="shared" si="4"/>
        <v>42500</v>
      </c>
      <c r="J7" s="57" t="str">
        <f t="shared" si="5"/>
        <v>B</v>
      </c>
      <c r="K7" s="57" t="str">
        <f t="shared" si="6"/>
        <v>Bột giặt</v>
      </c>
      <c r="L7" s="58" t="str">
        <f t="shared" si="7"/>
        <v>09/2000</v>
      </c>
    </row>
    <row r="8" spans="2:14" ht="28.5">
      <c r="B8" s="31">
        <v>4</v>
      </c>
      <c r="C8" s="31" t="s">
        <v>132</v>
      </c>
      <c r="D8" s="21" t="str">
        <f t="shared" si="0"/>
        <v>B002</v>
      </c>
      <c r="E8" s="60" t="str">
        <f t="shared" si="1"/>
        <v>Bột giặt Omo</v>
      </c>
      <c r="F8" s="60" t="str">
        <f t="shared" si="2"/>
        <v>Kg</v>
      </c>
      <c r="G8" s="31">
        <f t="shared" si="3"/>
        <v>12000</v>
      </c>
      <c r="H8" s="60">
        <v>4</v>
      </c>
      <c r="I8" s="60">
        <f t="shared" si="4"/>
        <v>48000</v>
      </c>
      <c r="J8" s="31" t="str">
        <f t="shared" si="5"/>
        <v>B</v>
      </c>
      <c r="K8" s="31" t="str">
        <f t="shared" si="6"/>
        <v>Bột giặt</v>
      </c>
      <c r="L8" s="21" t="str">
        <f t="shared" si="7"/>
        <v>09/2000</v>
      </c>
      <c r="N8" s="53" t="s">
        <v>128</v>
      </c>
    </row>
    <row r="9" spans="2:14">
      <c r="B9" s="57">
        <v>5</v>
      </c>
      <c r="C9" s="57" t="s">
        <v>133</v>
      </c>
      <c r="D9" s="58" t="str">
        <f t="shared" si="0"/>
        <v>K001</v>
      </c>
      <c r="E9" s="59" t="str">
        <f t="shared" si="1"/>
        <v>Kem P/S</v>
      </c>
      <c r="F9" s="59" t="str">
        <f t="shared" si="2"/>
        <v>Lọ</v>
      </c>
      <c r="G9" s="57">
        <f t="shared" si="3"/>
        <v>5000</v>
      </c>
      <c r="H9" s="59">
        <v>20</v>
      </c>
      <c r="I9" s="59">
        <f t="shared" si="4"/>
        <v>90000</v>
      </c>
      <c r="J9" s="57" t="str">
        <f t="shared" si="5"/>
        <v>K</v>
      </c>
      <c r="K9" s="57" t="str">
        <f t="shared" si="6"/>
        <v>Kem đánh răng</v>
      </c>
      <c r="L9" s="58" t="str">
        <f t="shared" si="7"/>
        <v>09/2000</v>
      </c>
      <c r="N9" s="1" t="s">
        <v>134</v>
      </c>
    </row>
    <row r="10" spans="2:14">
      <c r="B10" s="31">
        <v>6</v>
      </c>
      <c r="C10" s="31" t="s">
        <v>135</v>
      </c>
      <c r="D10" s="21" t="str">
        <f t="shared" si="0"/>
        <v>K002</v>
      </c>
      <c r="E10" s="60" t="str">
        <f t="shared" si="1"/>
        <v>Kem Close up</v>
      </c>
      <c r="F10" s="60" t="str">
        <f t="shared" si="2"/>
        <v>Lọ</v>
      </c>
      <c r="G10" s="31">
        <f t="shared" si="3"/>
        <v>10000</v>
      </c>
      <c r="H10" s="60">
        <v>2</v>
      </c>
      <c r="I10" s="60">
        <f t="shared" si="4"/>
        <v>20000</v>
      </c>
      <c r="J10" s="31" t="str">
        <f t="shared" si="5"/>
        <v>K</v>
      </c>
      <c r="K10" s="31" t="str">
        <f t="shared" si="6"/>
        <v>Kem đánh răng</v>
      </c>
      <c r="L10" s="21" t="str">
        <f t="shared" si="7"/>
        <v>09/2000</v>
      </c>
    </row>
    <row r="11" spans="2:14">
      <c r="B11" s="61">
        <v>7</v>
      </c>
      <c r="C11" s="61" t="s">
        <v>136</v>
      </c>
      <c r="D11" s="24" t="str">
        <f t="shared" si="0"/>
        <v>M001</v>
      </c>
      <c r="E11" s="60" t="str">
        <f t="shared" si="1"/>
        <v>Mì A one</v>
      </c>
      <c r="F11" s="33" t="str">
        <f t="shared" si="2"/>
        <v>Gói</v>
      </c>
      <c r="G11" s="61">
        <f t="shared" si="3"/>
        <v>2000</v>
      </c>
      <c r="H11" s="33">
        <v>4</v>
      </c>
      <c r="I11" s="33">
        <f t="shared" si="4"/>
        <v>8000</v>
      </c>
      <c r="J11" s="61" t="str">
        <f t="shared" si="5"/>
        <v>M</v>
      </c>
      <c r="K11" s="61" t="str">
        <f t="shared" si="6"/>
        <v>Mì ăn liền</v>
      </c>
      <c r="L11" s="24" t="str">
        <f t="shared" si="7"/>
        <v>08/2000</v>
      </c>
    </row>
    <row r="12" spans="2:14">
      <c r="B12" s="62">
        <v>8</v>
      </c>
      <c r="C12" s="62" t="s">
        <v>137</v>
      </c>
      <c r="D12" s="24" t="str">
        <f t="shared" si="0"/>
        <v>M002</v>
      </c>
      <c r="E12" s="33" t="str">
        <f t="shared" si="1"/>
        <v>Mì Miliket</v>
      </c>
      <c r="F12" s="33" t="str">
        <f t="shared" si="2"/>
        <v>Gói</v>
      </c>
      <c r="G12" s="62">
        <f t="shared" si="3"/>
        <v>1500</v>
      </c>
      <c r="H12" s="60">
        <v>10</v>
      </c>
      <c r="I12" s="33">
        <f t="shared" si="4"/>
        <v>15000</v>
      </c>
      <c r="J12" s="62" t="str">
        <f t="shared" si="5"/>
        <v>M</v>
      </c>
      <c r="K12" s="62" t="str">
        <f t="shared" si="6"/>
        <v>Mì ăn liền</v>
      </c>
      <c r="L12" s="24" t="str">
        <f t="shared" si="7"/>
        <v>08/2000</v>
      </c>
    </row>
    <row r="13" spans="2:14">
      <c r="B13" s="62">
        <v>9</v>
      </c>
      <c r="C13" s="62" t="s">
        <v>138</v>
      </c>
      <c r="D13" s="24" t="str">
        <f t="shared" si="0"/>
        <v>M001</v>
      </c>
      <c r="E13" s="33" t="str">
        <f t="shared" si="1"/>
        <v>Mì A one</v>
      </c>
      <c r="F13" s="63" t="str">
        <f t="shared" si="2"/>
        <v>Gói</v>
      </c>
      <c r="G13" s="64">
        <f t="shared" si="3"/>
        <v>2000</v>
      </c>
      <c r="H13" s="33">
        <v>10</v>
      </c>
      <c r="I13" s="33">
        <f t="shared" si="4"/>
        <v>20000</v>
      </c>
      <c r="J13" s="62" t="str">
        <f t="shared" si="5"/>
        <v>M</v>
      </c>
      <c r="K13" s="62" t="str">
        <f t="shared" si="6"/>
        <v>Mì ăn liền</v>
      </c>
      <c r="L13" s="24" t="str">
        <f t="shared" si="7"/>
        <v>09/2000</v>
      </c>
    </row>
    <row r="14" spans="2:14">
      <c r="B14" s="21">
        <v>10</v>
      </c>
      <c r="C14" s="21" t="s">
        <v>139</v>
      </c>
      <c r="D14" s="24" t="str">
        <f t="shared" si="0"/>
        <v>M002</v>
      </c>
      <c r="E14" s="21" t="str">
        <f t="shared" si="1"/>
        <v>Mì Miliket</v>
      </c>
      <c r="F14" s="21" t="str">
        <f t="shared" si="2"/>
        <v>Gói</v>
      </c>
      <c r="G14" s="21">
        <f t="shared" si="3"/>
        <v>1500</v>
      </c>
      <c r="H14" s="21">
        <v>20</v>
      </c>
      <c r="I14" s="21">
        <f t="shared" si="4"/>
        <v>27000</v>
      </c>
      <c r="J14" s="21" t="str">
        <f t="shared" si="5"/>
        <v>M</v>
      </c>
      <c r="K14" s="21" t="str">
        <f t="shared" si="6"/>
        <v>Mì ăn liền</v>
      </c>
      <c r="L14" s="24" t="str">
        <f t="shared" si="7"/>
        <v>09/2000</v>
      </c>
    </row>
    <row r="17" spans="2:12" ht="28.5">
      <c r="B17" s="54" t="s">
        <v>140</v>
      </c>
      <c r="C17" s="65" t="s">
        <v>141</v>
      </c>
      <c r="D17" s="65" t="s">
        <v>124</v>
      </c>
      <c r="E17" s="66" t="s">
        <v>142</v>
      </c>
      <c r="G17" s="67" t="s">
        <v>127</v>
      </c>
      <c r="H17" s="39" t="s">
        <v>128</v>
      </c>
      <c r="J17" s="54" t="s">
        <v>143</v>
      </c>
      <c r="K17" s="38" t="s">
        <v>144</v>
      </c>
      <c r="L17" s="39" t="s">
        <v>145</v>
      </c>
    </row>
    <row r="18" spans="2:12">
      <c r="B18" s="68" t="s">
        <v>146</v>
      </c>
      <c r="C18" s="56" t="s">
        <v>147</v>
      </c>
      <c r="D18" s="24" t="s">
        <v>148</v>
      </c>
      <c r="E18" s="68">
        <v>5000</v>
      </c>
      <c r="G18" s="24" t="s">
        <v>149</v>
      </c>
      <c r="H18" s="68" t="s">
        <v>134</v>
      </c>
      <c r="J18" s="56" t="s">
        <v>146</v>
      </c>
      <c r="K18" s="68">
        <f>SUM(H5:H14)</f>
        <v>83</v>
      </c>
      <c r="L18" s="24">
        <f>SUMIF($D$5:$D$14,J18,$I$5:$I$14)</f>
        <v>90000</v>
      </c>
    </row>
    <row r="19" spans="2:12">
      <c r="B19" s="69" t="s">
        <v>150</v>
      </c>
      <c r="C19" s="33" t="s">
        <v>151</v>
      </c>
      <c r="D19" s="24" t="s">
        <v>148</v>
      </c>
      <c r="E19" s="69">
        <v>10000</v>
      </c>
      <c r="G19" s="24" t="s">
        <v>39</v>
      </c>
      <c r="H19" s="69" t="s">
        <v>152</v>
      </c>
      <c r="J19" s="33" t="s">
        <v>150</v>
      </c>
      <c r="K19" s="69">
        <f t="shared" ref="K19:K24" si="8">SUM(H6:H15)</f>
        <v>80</v>
      </c>
      <c r="L19" s="24">
        <f t="shared" ref="L19:L24" si="9">SUMIF($D$5:$D$14,J19,$I$5:$I$14)</f>
        <v>20000</v>
      </c>
    </row>
    <row r="20" spans="2:12">
      <c r="B20" s="70" t="s">
        <v>153</v>
      </c>
      <c r="C20" s="33" t="s">
        <v>154</v>
      </c>
      <c r="D20" s="24" t="s">
        <v>155</v>
      </c>
      <c r="E20" s="21">
        <v>8500</v>
      </c>
      <c r="G20" s="24" t="s">
        <v>156</v>
      </c>
      <c r="H20" s="21" t="s">
        <v>157</v>
      </c>
      <c r="J20" s="33" t="s">
        <v>153</v>
      </c>
      <c r="K20" s="21">
        <f t="shared" si="8"/>
        <v>75</v>
      </c>
      <c r="L20" s="24">
        <f t="shared" si="9"/>
        <v>68000</v>
      </c>
    </row>
    <row r="21" spans="2:12">
      <c r="B21" s="71" t="s">
        <v>158</v>
      </c>
      <c r="C21" s="33" t="s">
        <v>159</v>
      </c>
      <c r="D21" s="24" t="s">
        <v>155</v>
      </c>
      <c r="E21" s="24">
        <v>12000</v>
      </c>
      <c r="J21" s="33" t="s">
        <v>158</v>
      </c>
      <c r="K21" s="24">
        <f t="shared" si="8"/>
        <v>70</v>
      </c>
      <c r="L21" s="24">
        <f t="shared" si="9"/>
        <v>108000</v>
      </c>
    </row>
    <row r="22" spans="2:12">
      <c r="B22" s="71" t="s">
        <v>160</v>
      </c>
      <c r="C22" s="33" t="s">
        <v>161</v>
      </c>
      <c r="D22" s="24" t="s">
        <v>162</v>
      </c>
      <c r="E22" s="24">
        <v>2000</v>
      </c>
      <c r="J22" s="33" t="s">
        <v>160</v>
      </c>
      <c r="K22" s="24">
        <f t="shared" si="8"/>
        <v>66</v>
      </c>
      <c r="L22" s="24">
        <f t="shared" si="9"/>
        <v>28000</v>
      </c>
    </row>
    <row r="23" spans="2:12">
      <c r="B23" s="31" t="s">
        <v>163</v>
      </c>
      <c r="C23" s="33" t="s">
        <v>164</v>
      </c>
      <c r="D23" s="24" t="s">
        <v>162</v>
      </c>
      <c r="E23" s="68">
        <v>1500</v>
      </c>
      <c r="J23" s="33" t="s">
        <v>163</v>
      </c>
      <c r="K23" s="73">
        <f t="shared" si="8"/>
        <v>46</v>
      </c>
      <c r="L23" s="24">
        <f t="shared" si="9"/>
        <v>42000</v>
      </c>
    </row>
    <row r="24" spans="2:12">
      <c r="B24" s="21" t="s">
        <v>165</v>
      </c>
      <c r="C24" s="21" t="s">
        <v>166</v>
      </c>
      <c r="D24" s="24" t="s">
        <v>167</v>
      </c>
      <c r="E24" s="21">
        <v>3000</v>
      </c>
      <c r="J24" s="21" t="s">
        <v>165</v>
      </c>
      <c r="K24" s="21">
        <f t="shared" si="8"/>
        <v>44</v>
      </c>
      <c r="L24" s="24">
        <f t="shared" si="9"/>
        <v>0</v>
      </c>
    </row>
    <row r="26" spans="2:12" ht="28.5">
      <c r="B26" s="54" t="s">
        <v>120</v>
      </c>
      <c r="C26" s="72" t="s">
        <v>121</v>
      </c>
      <c r="D26" s="38" t="s">
        <v>122</v>
      </c>
      <c r="E26" s="38" t="s">
        <v>123</v>
      </c>
      <c r="F26" s="38" t="s">
        <v>124</v>
      </c>
      <c r="G26" s="38" t="s">
        <v>125</v>
      </c>
      <c r="H26" s="38" t="s">
        <v>126</v>
      </c>
      <c r="I26" s="38" t="s">
        <v>8</v>
      </c>
      <c r="J26" s="38" t="s">
        <v>127</v>
      </c>
      <c r="K26" s="38" t="s">
        <v>128</v>
      </c>
      <c r="L26" s="39" t="s">
        <v>74</v>
      </c>
    </row>
    <row r="27" spans="2:12">
      <c r="B27" s="24">
        <v>5</v>
      </c>
      <c r="C27" s="24" t="s">
        <v>133</v>
      </c>
      <c r="D27" s="24" t="s">
        <v>146</v>
      </c>
      <c r="E27" s="24" t="s">
        <v>147</v>
      </c>
      <c r="F27" s="24" t="s">
        <v>148</v>
      </c>
      <c r="G27" s="24">
        <v>5000</v>
      </c>
      <c r="H27" s="24">
        <v>20</v>
      </c>
      <c r="I27" s="24">
        <v>90000</v>
      </c>
      <c r="J27" s="24" t="s">
        <v>149</v>
      </c>
      <c r="K27" s="24" t="s">
        <v>134</v>
      </c>
      <c r="L27" s="24" t="s">
        <v>168</v>
      </c>
    </row>
    <row r="28" spans="2:12">
      <c r="B28" s="24">
        <v>6</v>
      </c>
      <c r="C28" s="24" t="s">
        <v>135</v>
      </c>
      <c r="D28" s="24" t="s">
        <v>150</v>
      </c>
      <c r="E28" s="24" t="s">
        <v>151</v>
      </c>
      <c r="F28" s="24" t="s">
        <v>148</v>
      </c>
      <c r="G28" s="24">
        <v>10000</v>
      </c>
      <c r="H28" s="24">
        <v>2</v>
      </c>
      <c r="I28" s="24">
        <v>20000</v>
      </c>
      <c r="J28" s="24" t="s">
        <v>149</v>
      </c>
      <c r="K28" s="24" t="s">
        <v>134</v>
      </c>
      <c r="L28" s="24" t="s">
        <v>168</v>
      </c>
    </row>
    <row r="31" spans="2:12">
      <c r="E31" s="24"/>
    </row>
  </sheetData>
  <sortState xmlns:xlrd2="http://schemas.microsoft.com/office/spreadsheetml/2017/richdata2" ref="B5:L14">
    <sortCondition ref="C5:C14"/>
    <sortCondition descending="1" ref="H5:H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O25"/>
  <sheetViews>
    <sheetView tabSelected="1" workbookViewId="0">
      <selection activeCell="M7" sqref="M7"/>
    </sheetView>
  </sheetViews>
  <sheetFormatPr defaultColWidth="9" defaultRowHeight="14.25"/>
  <cols>
    <col min="1" max="2" width="9" style="1"/>
    <col min="3" max="3" width="12.625" style="1" customWidth="1"/>
    <col min="4" max="4" width="9" style="1"/>
    <col min="5" max="5" width="10.75" style="1" customWidth="1"/>
    <col min="6" max="6" width="11.25" style="1" customWidth="1"/>
    <col min="7" max="7" width="16" style="1" customWidth="1"/>
    <col min="8" max="12" width="9" style="1"/>
    <col min="13" max="13" width="14" style="1" customWidth="1"/>
    <col min="14" max="16384" width="9" style="1"/>
  </cols>
  <sheetData>
    <row r="3" spans="2:15">
      <c r="C3" s="256" t="s">
        <v>169</v>
      </c>
      <c r="D3" s="256"/>
      <c r="E3" s="256"/>
      <c r="F3" s="256"/>
      <c r="G3" s="256"/>
    </row>
    <row r="5" spans="2:15" ht="28.5">
      <c r="B5" s="41" t="s">
        <v>2</v>
      </c>
      <c r="C5" s="42" t="s">
        <v>170</v>
      </c>
      <c r="D5" s="43" t="s">
        <v>171</v>
      </c>
      <c r="E5" s="44" t="s">
        <v>172</v>
      </c>
      <c r="F5" s="42" t="s">
        <v>173</v>
      </c>
      <c r="G5" s="45" t="s">
        <v>174</v>
      </c>
      <c r="H5" s="45" t="s">
        <v>175</v>
      </c>
      <c r="I5" s="3" t="s">
        <v>176</v>
      </c>
      <c r="J5" s="45" t="s">
        <v>177</v>
      </c>
      <c r="K5" s="3" t="s">
        <v>178</v>
      </c>
      <c r="L5" s="45" t="s">
        <v>179</v>
      </c>
      <c r="M5" s="39" t="s">
        <v>59</v>
      </c>
    </row>
    <row r="6" spans="2:15">
      <c r="B6" s="8">
        <v>1</v>
      </c>
      <c r="C6" s="8" t="s">
        <v>180</v>
      </c>
      <c r="D6" s="7" t="s">
        <v>12</v>
      </c>
      <c r="E6" s="24" t="str">
        <f>LEFT(C6,1)</f>
        <v>A</v>
      </c>
      <c r="F6" s="7" t="str">
        <f>MID(C6,2,1)</f>
        <v>1</v>
      </c>
      <c r="G6" s="7" t="str">
        <f>VLOOKUP(VALUE(RIGHT(C6,3)),$B$14:$E$19,2,0)</f>
        <v>Tin học</v>
      </c>
      <c r="H6" s="7">
        <f>IF(E6="A",VLOOKUP(G6,$C$14:$E$19,2,0),VLOOKUP(G6,$C$14:$E$19,3,0))</f>
        <v>25</v>
      </c>
      <c r="I6" s="49">
        <v>29</v>
      </c>
      <c r="J6" s="7" t="str">
        <f>IF(F6="1","0",IF(F6="2",0.5,IF(F6="3","1","")))</f>
        <v>0</v>
      </c>
      <c r="K6" s="7" t="str">
        <f>IF((I6+J6)&gt;=H6,"đậu","")</f>
        <v>đậu</v>
      </c>
      <c r="L6" s="7" t="str">
        <f>IF(AND(E6="A",(I6-H6)&gt;=3),"500000","")</f>
        <v>500000</v>
      </c>
      <c r="M6" s="7" t="str">
        <f>IF(AND((I6+J6)&lt;(H6-1),OR(E6="B",F6="1")),"chờ xét duyệt","")</f>
        <v/>
      </c>
      <c r="O6" s="50"/>
    </row>
    <row r="7" spans="2:15">
      <c r="B7" s="46">
        <v>2</v>
      </c>
      <c r="C7" s="12" t="s">
        <v>181</v>
      </c>
      <c r="D7" s="47" t="s">
        <v>16</v>
      </c>
      <c r="E7" s="24" t="str">
        <f t="shared" ref="E7:E11" si="0">LEFT(C7,1)</f>
        <v>A</v>
      </c>
      <c r="F7" s="47" t="str">
        <f t="shared" ref="F7:F11" si="1">MID(C7,2,1)</f>
        <v>1</v>
      </c>
      <c r="G7" s="46" t="str">
        <f t="shared" ref="G7:G11" si="2">VLOOKUP(VALUE(RIGHT(C7,3)),$B$14:$E$19,2,0)</f>
        <v>Xây dựng</v>
      </c>
      <c r="H7" s="11">
        <f t="shared" ref="H7:H11" si="3">IF(E7="A",VLOOKUP(G7,$C$14:$E$19,2,0),VLOOKUP(G7,$C$14:$E$19,3,0))</f>
        <v>24</v>
      </c>
      <c r="I7" s="12">
        <v>22</v>
      </c>
      <c r="J7" s="46" t="str">
        <f t="shared" ref="J7:J11" si="4">IF(F7="1","0",IF(F7="2",0.5,IF(F7="3","1","")))</f>
        <v>0</v>
      </c>
      <c r="K7" s="11" t="str">
        <f t="shared" ref="K7:K11" si="5">IF((I7+J7)&gt;=H7,"đậu","")</f>
        <v/>
      </c>
      <c r="L7" s="47" t="str">
        <f t="shared" ref="L7:L11" si="6">IF(AND(E7="A",(I7-H7)&gt;=3),"500000","")</f>
        <v/>
      </c>
      <c r="M7" s="11" t="str">
        <f t="shared" ref="M7:M11" si="7">IF(AND((I7+J7)&lt;(H7-1),OR(E7="B",F7="1")),"chờ xét duyệt","")</f>
        <v>chờ xét duyệt</v>
      </c>
      <c r="O7" s="51" t="s">
        <v>172</v>
      </c>
    </row>
    <row r="8" spans="2:15">
      <c r="B8" s="46">
        <v>3</v>
      </c>
      <c r="C8" s="47" t="s">
        <v>182</v>
      </c>
      <c r="D8" s="47" t="s">
        <v>14</v>
      </c>
      <c r="E8" s="24" t="str">
        <f t="shared" si="0"/>
        <v>B</v>
      </c>
      <c r="F8" s="47" t="str">
        <f t="shared" si="1"/>
        <v>3</v>
      </c>
      <c r="G8" s="12" t="str">
        <f t="shared" si="2"/>
        <v>Luật</v>
      </c>
      <c r="H8" s="11">
        <f t="shared" si="3"/>
        <v>22</v>
      </c>
      <c r="I8" s="11">
        <v>24</v>
      </c>
      <c r="J8" s="12" t="str">
        <f t="shared" si="4"/>
        <v>1</v>
      </c>
      <c r="K8" s="18" t="str">
        <f t="shared" si="5"/>
        <v>đậu</v>
      </c>
      <c r="L8" s="46" t="str">
        <f t="shared" si="6"/>
        <v/>
      </c>
      <c r="M8" s="11" t="str">
        <f t="shared" si="7"/>
        <v/>
      </c>
      <c r="O8" s="52" t="s">
        <v>36</v>
      </c>
    </row>
    <row r="9" spans="2:15">
      <c r="B9" s="12">
        <v>4</v>
      </c>
      <c r="C9" s="13" t="s">
        <v>183</v>
      </c>
      <c r="D9" s="47" t="s">
        <v>184</v>
      </c>
      <c r="E9" s="24" t="str">
        <f t="shared" si="0"/>
        <v>B</v>
      </c>
      <c r="F9" s="47" t="str">
        <f t="shared" si="1"/>
        <v>2</v>
      </c>
      <c r="G9" s="47" t="str">
        <f t="shared" si="2"/>
        <v>Ngoại ngữ</v>
      </c>
      <c r="H9" s="11">
        <f t="shared" si="3"/>
        <v>26</v>
      </c>
      <c r="I9" s="11">
        <v>24</v>
      </c>
      <c r="J9" s="47">
        <f t="shared" si="4"/>
        <v>0.5</v>
      </c>
      <c r="K9" s="12" t="str">
        <f t="shared" si="5"/>
        <v/>
      </c>
      <c r="L9" s="12" t="str">
        <f t="shared" si="6"/>
        <v/>
      </c>
      <c r="M9" s="11" t="str">
        <f t="shared" si="7"/>
        <v>chờ xét duyệt</v>
      </c>
    </row>
    <row r="10" spans="2:15">
      <c r="B10" s="48">
        <v>5</v>
      </c>
      <c r="C10" s="12" t="s">
        <v>185</v>
      </c>
      <c r="D10" s="48" t="s">
        <v>186</v>
      </c>
      <c r="E10" s="24" t="str">
        <f t="shared" si="0"/>
        <v>A</v>
      </c>
      <c r="F10" s="48" t="str">
        <f t="shared" si="1"/>
        <v>2</v>
      </c>
      <c r="G10" s="48" t="str">
        <f t="shared" si="2"/>
        <v>Xây dựng</v>
      </c>
      <c r="H10" s="11">
        <f t="shared" si="3"/>
        <v>24</v>
      </c>
      <c r="I10" s="11">
        <v>29</v>
      </c>
      <c r="J10" s="48">
        <f t="shared" si="4"/>
        <v>0.5</v>
      </c>
      <c r="K10" s="11" t="str">
        <f t="shared" si="5"/>
        <v>đậu</v>
      </c>
      <c r="L10" s="48" t="str">
        <f t="shared" si="6"/>
        <v>500000</v>
      </c>
      <c r="M10" s="18" t="str">
        <f t="shared" si="7"/>
        <v/>
      </c>
    </row>
    <row r="11" spans="2:15">
      <c r="B11" s="22">
        <v>6</v>
      </c>
      <c r="C11" s="22" t="s">
        <v>187</v>
      </c>
      <c r="D11" s="22" t="s">
        <v>188</v>
      </c>
      <c r="E11" s="24" t="str">
        <f t="shared" si="0"/>
        <v>B</v>
      </c>
      <c r="F11" s="22" t="str">
        <f t="shared" si="1"/>
        <v>1</v>
      </c>
      <c r="G11" s="22" t="str">
        <f t="shared" si="2"/>
        <v>Luật</v>
      </c>
      <c r="H11" s="35">
        <f t="shared" si="3"/>
        <v>22</v>
      </c>
      <c r="I11" s="35">
        <v>26</v>
      </c>
      <c r="J11" s="22" t="str">
        <f t="shared" si="4"/>
        <v>0</v>
      </c>
      <c r="K11" s="35" t="str">
        <f t="shared" si="5"/>
        <v>đậu</v>
      </c>
      <c r="L11" s="22" t="str">
        <f t="shared" si="6"/>
        <v/>
      </c>
      <c r="M11" s="21" t="str">
        <f t="shared" si="7"/>
        <v/>
      </c>
    </row>
    <row r="13" spans="2:15">
      <c r="B13" s="257" t="s">
        <v>189</v>
      </c>
      <c r="C13" s="257"/>
    </row>
    <row r="14" spans="2:15" ht="17.25" customHeight="1">
      <c r="B14" s="260" t="s">
        <v>190</v>
      </c>
      <c r="C14" s="260" t="s">
        <v>174</v>
      </c>
      <c r="D14" s="258" t="s">
        <v>191</v>
      </c>
      <c r="E14" s="258"/>
      <c r="G14" s="259" t="s">
        <v>192</v>
      </c>
      <c r="H14" s="259"/>
    </row>
    <row r="15" spans="2:15">
      <c r="B15" s="260"/>
      <c r="C15" s="260"/>
      <c r="D15" s="24" t="s">
        <v>36</v>
      </c>
      <c r="E15" s="24" t="s">
        <v>39</v>
      </c>
      <c r="G15" s="258" t="s">
        <v>193</v>
      </c>
      <c r="H15" s="258"/>
      <c r="I15" s="258"/>
      <c r="J15" s="24">
        <f>COUNT(B6:B11)</f>
        <v>6</v>
      </c>
    </row>
    <row r="16" spans="2:15">
      <c r="B16" s="24">
        <v>101</v>
      </c>
      <c r="C16" s="24" t="s">
        <v>194</v>
      </c>
      <c r="D16" s="24">
        <v>25</v>
      </c>
      <c r="E16" s="24"/>
      <c r="G16" s="258" t="s">
        <v>195</v>
      </c>
      <c r="H16" s="258"/>
      <c r="I16" s="258"/>
      <c r="J16" s="24">
        <f>COUNTIF(K6:K11,"đậu")</f>
        <v>4</v>
      </c>
    </row>
    <row r="17" spans="2:13">
      <c r="B17" s="24">
        <v>105</v>
      </c>
      <c r="C17" s="24" t="s">
        <v>196</v>
      </c>
      <c r="D17" s="24">
        <v>24</v>
      </c>
      <c r="E17" s="24"/>
      <c r="G17" s="258" t="s">
        <v>197</v>
      </c>
      <c r="H17" s="258"/>
      <c r="I17" s="258"/>
      <c r="J17" s="24">
        <f>COUNTIF(K6:K11,"")</f>
        <v>2</v>
      </c>
    </row>
    <row r="18" spans="2:13">
      <c r="B18" s="24">
        <v>111</v>
      </c>
      <c r="C18" s="24" t="s">
        <v>198</v>
      </c>
      <c r="D18" s="24"/>
      <c r="E18" s="24">
        <v>26</v>
      </c>
      <c r="G18" s="258" t="s">
        <v>199</v>
      </c>
      <c r="H18" s="258"/>
      <c r="I18" s="258"/>
      <c r="J18" s="24">
        <f>COUNTIF(I6:I11,"&gt;=29")</f>
        <v>2</v>
      </c>
    </row>
    <row r="19" spans="2:13">
      <c r="B19" s="24">
        <v>112</v>
      </c>
      <c r="C19" s="24" t="s">
        <v>200</v>
      </c>
      <c r="D19" s="24"/>
      <c r="E19" s="24">
        <v>22</v>
      </c>
      <c r="G19" s="258" t="s">
        <v>201</v>
      </c>
      <c r="H19" s="258"/>
      <c r="I19" s="258"/>
      <c r="J19" s="24">
        <f>COUNTIF(L6:L11,"500000")</f>
        <v>2</v>
      </c>
    </row>
    <row r="22" spans="2:13" ht="28.5">
      <c r="B22" s="41" t="s">
        <v>2</v>
      </c>
      <c r="C22" s="38" t="s">
        <v>170</v>
      </c>
      <c r="D22" s="44" t="s">
        <v>171</v>
      </c>
      <c r="E22" s="5" t="s">
        <v>172</v>
      </c>
      <c r="F22" s="6" t="s">
        <v>173</v>
      </c>
      <c r="G22" s="38" t="s">
        <v>174</v>
      </c>
      <c r="H22" s="38" t="s">
        <v>175</v>
      </c>
      <c r="I22" s="38" t="s">
        <v>176</v>
      </c>
      <c r="J22" s="38" t="s">
        <v>177</v>
      </c>
      <c r="K22" s="3" t="s">
        <v>178</v>
      </c>
      <c r="L22" s="6" t="s">
        <v>179</v>
      </c>
      <c r="M22" s="267" t="s">
        <v>59</v>
      </c>
    </row>
    <row r="23" spans="2:13">
      <c r="B23" s="24">
        <v>1</v>
      </c>
      <c r="C23" s="24" t="s">
        <v>180</v>
      </c>
      <c r="D23" s="24" t="s">
        <v>12</v>
      </c>
      <c r="E23" s="24" t="s">
        <v>36</v>
      </c>
      <c r="F23" s="24" t="s">
        <v>202</v>
      </c>
      <c r="G23" s="24" t="s">
        <v>194</v>
      </c>
      <c r="H23" s="24">
        <v>25</v>
      </c>
      <c r="I23" s="24">
        <v>29</v>
      </c>
      <c r="J23" s="24" t="s">
        <v>203</v>
      </c>
      <c r="K23" s="24" t="s">
        <v>204</v>
      </c>
      <c r="L23" s="24" t="s">
        <v>205</v>
      </c>
      <c r="M23" s="24" t="s">
        <v>206</v>
      </c>
    </row>
    <row r="24" spans="2:13">
      <c r="B24" s="24">
        <v>2</v>
      </c>
      <c r="C24" s="24" t="s">
        <v>181</v>
      </c>
      <c r="D24" s="24" t="s">
        <v>16</v>
      </c>
      <c r="E24" s="24" t="s">
        <v>36</v>
      </c>
      <c r="F24" s="24" t="s">
        <v>202</v>
      </c>
      <c r="G24" s="24" t="s">
        <v>196</v>
      </c>
      <c r="H24" s="24">
        <v>24</v>
      </c>
      <c r="I24" s="24">
        <v>22</v>
      </c>
      <c r="J24" s="24" t="s">
        <v>203</v>
      </c>
      <c r="K24" s="24" t="s">
        <v>206</v>
      </c>
      <c r="L24" s="24" t="s">
        <v>206</v>
      </c>
      <c r="M24" s="24" t="s">
        <v>207</v>
      </c>
    </row>
    <row r="25" spans="2:13">
      <c r="B25" s="24">
        <v>5</v>
      </c>
      <c r="C25" s="24" t="s">
        <v>185</v>
      </c>
      <c r="D25" s="24" t="s">
        <v>186</v>
      </c>
      <c r="E25" s="24" t="s">
        <v>36</v>
      </c>
      <c r="F25" s="24" t="s">
        <v>208</v>
      </c>
      <c r="G25" s="24" t="s">
        <v>196</v>
      </c>
      <c r="H25" s="24">
        <v>24</v>
      </c>
      <c r="I25" s="24">
        <v>29</v>
      </c>
      <c r="J25" s="24">
        <v>0.5</v>
      </c>
      <c r="K25" s="24" t="s">
        <v>204</v>
      </c>
      <c r="L25" s="24" t="s">
        <v>205</v>
      </c>
      <c r="M25" s="24" t="s">
        <v>206</v>
      </c>
    </row>
  </sheetData>
  <mergeCells count="11">
    <mergeCell ref="G16:I16"/>
    <mergeCell ref="G17:I17"/>
    <mergeCell ref="G18:I18"/>
    <mergeCell ref="G19:I19"/>
    <mergeCell ref="B14:B15"/>
    <mergeCell ref="C14:C15"/>
    <mergeCell ref="C3:G3"/>
    <mergeCell ref="B13:C13"/>
    <mergeCell ref="D14:E14"/>
    <mergeCell ref="G14:H14"/>
    <mergeCell ref="G15:I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O28"/>
  <sheetViews>
    <sheetView topLeftCell="A4" workbookViewId="0">
      <selection activeCell="L5" sqref="L5"/>
    </sheetView>
  </sheetViews>
  <sheetFormatPr defaultColWidth="9" defaultRowHeight="14.25"/>
  <cols>
    <col min="1" max="4" width="9" style="1"/>
    <col min="5" max="5" width="15.125" style="1" customWidth="1"/>
    <col min="6" max="6" width="12.75" style="1" customWidth="1"/>
    <col min="7" max="7" width="12.25" style="1" customWidth="1"/>
    <col min="8" max="8" width="12.125" style="1" customWidth="1"/>
    <col min="9" max="9" width="12.5" style="1" customWidth="1"/>
    <col min="10" max="10" width="11.75" style="1"/>
    <col min="11" max="14" width="9" style="1"/>
    <col min="15" max="15" width="14.625" style="1" customWidth="1"/>
    <col min="16" max="16384" width="9" style="1"/>
  </cols>
  <sheetData>
    <row r="3" spans="2:15">
      <c r="E3" s="256" t="s">
        <v>209</v>
      </c>
      <c r="F3" s="256"/>
      <c r="G3" s="256"/>
      <c r="H3" s="256"/>
    </row>
    <row r="4" spans="2:15" ht="32.25" customHeight="1">
      <c r="B4" s="2" t="s">
        <v>120</v>
      </c>
      <c r="C4" s="3" t="s">
        <v>3</v>
      </c>
      <c r="D4" s="4" t="s">
        <v>210</v>
      </c>
      <c r="E4" s="3" t="s">
        <v>211</v>
      </c>
      <c r="F4" s="5" t="s">
        <v>212</v>
      </c>
      <c r="G4" s="6" t="s">
        <v>213</v>
      </c>
      <c r="H4" s="6" t="s">
        <v>7</v>
      </c>
      <c r="I4" s="38" t="s">
        <v>214</v>
      </c>
      <c r="J4" s="38" t="s">
        <v>8</v>
      </c>
      <c r="K4" s="3" t="s">
        <v>215</v>
      </c>
      <c r="L4" s="38" t="s">
        <v>216</v>
      </c>
      <c r="M4" s="39" t="s">
        <v>217</v>
      </c>
    </row>
    <row r="5" spans="2:15">
      <c r="B5" s="7">
        <v>1</v>
      </c>
      <c r="C5" s="8" t="s">
        <v>218</v>
      </c>
      <c r="D5" s="8" t="s">
        <v>35</v>
      </c>
      <c r="E5" s="7"/>
      <c r="F5" s="9">
        <v>36626</v>
      </c>
      <c r="G5" s="10">
        <v>36646</v>
      </c>
      <c r="H5" s="7">
        <f>G5-F5+1</f>
        <v>21</v>
      </c>
      <c r="I5" s="24">
        <f t="shared" ref="I5:I10" si="0">VLOOKUP(VALUE(RIGHT(C5,1)),$B$13:$E$20,IF(LEFT(C5,1)="A",2,IF(LEFT(C5,1)="B",3,4)),0)</f>
        <v>500000</v>
      </c>
      <c r="J5" s="24">
        <f>H5*I5</f>
        <v>10500000</v>
      </c>
      <c r="K5" s="7">
        <f>IF(E5="x",120%*J5,J5)</f>
        <v>10500000</v>
      </c>
      <c r="L5" s="24">
        <f>IF(F5="30/04/2000",50%*I5,0)</f>
        <v>0</v>
      </c>
      <c r="M5" s="7">
        <f>J5-L5</f>
        <v>10500000</v>
      </c>
    </row>
    <row r="6" spans="2:15" ht="15" thickBot="1">
      <c r="B6" s="11">
        <v>2</v>
      </c>
      <c r="C6" s="12" t="s">
        <v>219</v>
      </c>
      <c r="D6" s="12" t="s">
        <v>220</v>
      </c>
      <c r="E6" s="13" t="s">
        <v>221</v>
      </c>
      <c r="F6" s="14">
        <v>36617</v>
      </c>
      <c r="G6" s="15">
        <v>36636</v>
      </c>
      <c r="H6" s="13">
        <f t="shared" ref="H6:H10" si="1">G6-F6+1</f>
        <v>20</v>
      </c>
      <c r="I6" s="24">
        <f t="shared" si="0"/>
        <v>100000</v>
      </c>
      <c r="J6" s="24">
        <f t="shared" ref="J6:J10" si="2">H6*I6</f>
        <v>2000000</v>
      </c>
      <c r="K6" s="7">
        <f t="shared" ref="K6:K10" si="3">IF(E6="x",120%*J6,J6)</f>
        <v>2400000</v>
      </c>
      <c r="L6" s="24">
        <f t="shared" ref="L6:L10" si="4">IF(F6="30/04/2000",50%*I6,0)</f>
        <v>0</v>
      </c>
      <c r="M6" s="7">
        <f t="shared" ref="M6:M10" si="5">J6-L6</f>
        <v>2000000</v>
      </c>
    </row>
    <row r="7" spans="2:15">
      <c r="B7" s="11">
        <v>3</v>
      </c>
      <c r="C7" s="16" t="s">
        <v>222</v>
      </c>
      <c r="D7" s="16" t="s">
        <v>223</v>
      </c>
      <c r="E7" s="16"/>
      <c r="F7" s="14">
        <v>36617</v>
      </c>
      <c r="G7" s="17">
        <v>36621</v>
      </c>
      <c r="H7" s="16">
        <f t="shared" si="1"/>
        <v>5</v>
      </c>
      <c r="I7" s="24">
        <f t="shared" si="0"/>
        <v>250000</v>
      </c>
      <c r="J7" s="24">
        <f t="shared" si="2"/>
        <v>1250000</v>
      </c>
      <c r="K7" s="7">
        <f t="shared" si="3"/>
        <v>1250000</v>
      </c>
      <c r="L7" s="24">
        <f t="shared" si="4"/>
        <v>0</v>
      </c>
      <c r="M7" s="7">
        <f t="shared" si="5"/>
        <v>1250000</v>
      </c>
    </row>
    <row r="8" spans="2:15" ht="27.75" customHeight="1" thickBot="1">
      <c r="B8" s="11">
        <v>4</v>
      </c>
      <c r="C8" s="7" t="s">
        <v>224</v>
      </c>
      <c r="D8" s="7" t="s">
        <v>225</v>
      </c>
      <c r="E8" s="7" t="s">
        <v>221</v>
      </c>
      <c r="F8" s="14">
        <v>36636</v>
      </c>
      <c r="G8" s="9">
        <v>36641</v>
      </c>
      <c r="H8" s="7">
        <f t="shared" si="1"/>
        <v>6</v>
      </c>
      <c r="I8" s="24">
        <f t="shared" si="0"/>
        <v>350000</v>
      </c>
      <c r="J8" s="24">
        <f t="shared" si="2"/>
        <v>2100000</v>
      </c>
      <c r="K8" s="7">
        <f t="shared" si="3"/>
        <v>2520000</v>
      </c>
      <c r="L8" s="24">
        <f t="shared" si="4"/>
        <v>0</v>
      </c>
      <c r="M8" s="7">
        <f t="shared" si="5"/>
        <v>2100000</v>
      </c>
      <c r="O8" s="40"/>
    </row>
    <row r="9" spans="2:15">
      <c r="B9" s="18">
        <v>5</v>
      </c>
      <c r="C9" s="19" t="s">
        <v>218</v>
      </c>
      <c r="D9" s="19" t="s">
        <v>226</v>
      </c>
      <c r="E9" s="19"/>
      <c r="F9" s="14">
        <v>36647</v>
      </c>
      <c r="G9" s="20">
        <v>36651</v>
      </c>
      <c r="H9" s="16">
        <f t="shared" si="1"/>
        <v>5</v>
      </c>
      <c r="I9" s="24">
        <f t="shared" si="0"/>
        <v>500000</v>
      </c>
      <c r="J9" s="24">
        <f t="shared" si="2"/>
        <v>2500000</v>
      </c>
      <c r="K9" s="7">
        <f t="shared" si="3"/>
        <v>2500000</v>
      </c>
      <c r="L9" s="24">
        <f t="shared" si="4"/>
        <v>0</v>
      </c>
      <c r="M9" s="7">
        <f t="shared" si="5"/>
        <v>2500000</v>
      </c>
    </row>
    <row r="10" spans="2:15">
      <c r="B10" s="21">
        <v>6</v>
      </c>
      <c r="C10" s="22" t="s">
        <v>227</v>
      </c>
      <c r="D10" s="22" t="s">
        <v>16</v>
      </c>
      <c r="E10" s="22"/>
      <c r="F10" s="14">
        <v>36641</v>
      </c>
      <c r="G10" s="23">
        <v>36648</v>
      </c>
      <c r="H10" s="24">
        <f t="shared" si="1"/>
        <v>8</v>
      </c>
      <c r="I10" s="24">
        <f t="shared" si="0"/>
        <v>300000</v>
      </c>
      <c r="J10" s="24">
        <f t="shared" si="2"/>
        <v>2400000</v>
      </c>
      <c r="K10" s="24">
        <f t="shared" si="3"/>
        <v>2400000</v>
      </c>
      <c r="L10" s="24">
        <f t="shared" si="4"/>
        <v>0</v>
      </c>
      <c r="M10" s="7">
        <f t="shared" si="5"/>
        <v>2400000</v>
      </c>
    </row>
    <row r="11" spans="2:15">
      <c r="M11" s="52"/>
    </row>
    <row r="12" spans="2:15">
      <c r="B12" s="259" t="s">
        <v>228</v>
      </c>
      <c r="C12" s="259"/>
      <c r="D12" s="259"/>
    </row>
    <row r="13" spans="2:15">
      <c r="B13" s="266" t="s">
        <v>229</v>
      </c>
      <c r="C13" s="261" t="s">
        <v>230</v>
      </c>
      <c r="D13" s="262"/>
      <c r="E13" s="262"/>
    </row>
    <row r="14" spans="2:15">
      <c r="B14" s="266"/>
      <c r="C14" s="25" t="s">
        <v>36</v>
      </c>
      <c r="D14" s="26" t="s">
        <v>39</v>
      </c>
      <c r="E14" s="27" t="s">
        <v>231</v>
      </c>
    </row>
    <row r="15" spans="2:15">
      <c r="B15" s="7">
        <v>1</v>
      </c>
      <c r="C15" s="7">
        <v>500000</v>
      </c>
      <c r="D15" s="7">
        <v>400000</v>
      </c>
      <c r="E15" s="24">
        <v>350000</v>
      </c>
      <c r="G15" s="259" t="s">
        <v>192</v>
      </c>
      <c r="H15" s="259"/>
    </row>
    <row r="16" spans="2:15">
      <c r="B16" s="28">
        <v>2</v>
      </c>
      <c r="C16" s="29">
        <v>450000</v>
      </c>
      <c r="D16" s="30">
        <v>350000</v>
      </c>
      <c r="E16" s="24">
        <v>300000</v>
      </c>
      <c r="G16" s="263" t="s">
        <v>232</v>
      </c>
      <c r="H16" s="263"/>
      <c r="I16" s="7">
        <f>SUM(M5:M10)</f>
        <v>20750000</v>
      </c>
    </row>
    <row r="17" spans="2:13">
      <c r="B17" s="28">
        <v>3</v>
      </c>
      <c r="C17" s="29">
        <v>400000</v>
      </c>
      <c r="D17" s="31">
        <v>300000</v>
      </c>
      <c r="E17" s="24">
        <v>250000</v>
      </c>
      <c r="G17" s="264" t="s">
        <v>233</v>
      </c>
      <c r="H17" s="264"/>
      <c r="I17" s="30">
        <f>SUM(L5:L10)</f>
        <v>0</v>
      </c>
    </row>
    <row r="18" spans="2:13">
      <c r="B18" s="28">
        <v>4</v>
      </c>
      <c r="C18" s="29">
        <v>350000</v>
      </c>
      <c r="D18" s="32">
        <v>250000</v>
      </c>
      <c r="E18" s="24">
        <v>200000</v>
      </c>
      <c r="G18" s="265" t="s">
        <v>234</v>
      </c>
      <c r="H18" s="265"/>
      <c r="I18" s="21">
        <f>COUNTIF(E5:E10,"x")</f>
        <v>2</v>
      </c>
    </row>
    <row r="19" spans="2:13">
      <c r="B19" s="33">
        <v>5</v>
      </c>
      <c r="C19" s="29">
        <v>300000</v>
      </c>
      <c r="D19" s="12">
        <v>200000</v>
      </c>
      <c r="E19" s="24">
        <v>150000</v>
      </c>
    </row>
    <row r="20" spans="2:13">
      <c r="B20" s="21">
        <v>6</v>
      </c>
      <c r="C20" s="34">
        <v>250000</v>
      </c>
      <c r="D20" s="34">
        <v>150000</v>
      </c>
      <c r="E20" s="24">
        <v>100000</v>
      </c>
    </row>
    <row r="22" spans="2:13">
      <c r="B22"/>
      <c r="C22"/>
      <c r="D22"/>
      <c r="E22"/>
      <c r="F22"/>
      <c r="G22"/>
      <c r="H22"/>
      <c r="I22"/>
      <c r="J22"/>
      <c r="K22"/>
      <c r="L22"/>
      <c r="M22"/>
    </row>
    <row r="23" spans="2:13" ht="28.5">
      <c r="B23" s="2" t="s">
        <v>120</v>
      </c>
      <c r="C23" s="3" t="s">
        <v>3</v>
      </c>
      <c r="D23" s="4" t="s">
        <v>210</v>
      </c>
      <c r="E23" s="3" t="s">
        <v>211</v>
      </c>
      <c r="F23" s="5" t="s">
        <v>212</v>
      </c>
      <c r="G23" s="6" t="s">
        <v>213</v>
      </c>
      <c r="H23" s="6" t="s">
        <v>7</v>
      </c>
      <c r="I23" s="38" t="s">
        <v>214</v>
      </c>
      <c r="J23" s="38" t="s">
        <v>8</v>
      </c>
      <c r="K23" s="3" t="s">
        <v>215</v>
      </c>
      <c r="L23" s="38" t="s">
        <v>216</v>
      </c>
      <c r="M23" s="39" t="s">
        <v>217</v>
      </c>
    </row>
    <row r="24" spans="2:13" ht="15" thickBot="1">
      <c r="B24" s="11">
        <v>2</v>
      </c>
      <c r="C24" s="12" t="s">
        <v>219</v>
      </c>
      <c r="D24" s="12" t="s">
        <v>220</v>
      </c>
      <c r="E24" s="13" t="s">
        <v>221</v>
      </c>
      <c r="F24" s="14">
        <v>36617</v>
      </c>
      <c r="G24" s="15">
        <v>36636</v>
      </c>
      <c r="H24" s="13">
        <v>20</v>
      </c>
      <c r="I24" s="24">
        <v>100000</v>
      </c>
      <c r="J24" s="24">
        <v>2000000</v>
      </c>
      <c r="K24" s="7">
        <v>2400000</v>
      </c>
      <c r="L24" s="24">
        <v>0</v>
      </c>
      <c r="M24" s="7">
        <v>2000000</v>
      </c>
    </row>
    <row r="25" spans="2:13">
      <c r="B25" s="11">
        <v>4</v>
      </c>
      <c r="C25" s="7" t="s">
        <v>224</v>
      </c>
      <c r="D25" s="7" t="s">
        <v>225</v>
      </c>
      <c r="E25" s="7" t="s">
        <v>221</v>
      </c>
      <c r="F25" s="14">
        <v>36636</v>
      </c>
      <c r="G25" s="9">
        <v>36641</v>
      </c>
      <c r="H25" s="7">
        <v>6</v>
      </c>
      <c r="I25" s="24">
        <v>350000</v>
      </c>
      <c r="J25" s="24">
        <v>2100000</v>
      </c>
      <c r="K25" s="7">
        <v>2520000</v>
      </c>
      <c r="L25" s="24">
        <v>0</v>
      </c>
      <c r="M25" s="7">
        <v>2100000</v>
      </c>
    </row>
    <row r="26" spans="2:13">
      <c r="B26" s="36"/>
      <c r="C26" s="36"/>
      <c r="D26" s="36"/>
      <c r="E26" s="36"/>
      <c r="F26" s="37"/>
      <c r="G26" s="37"/>
      <c r="H26" s="36"/>
      <c r="I26" s="36"/>
      <c r="J26" s="36"/>
      <c r="K26" s="36"/>
      <c r="L26" s="36"/>
      <c r="M26" s="36"/>
    </row>
    <row r="27" spans="2:13">
      <c r="B27" s="36"/>
      <c r="C27" s="36"/>
      <c r="D27" s="36"/>
      <c r="E27" s="36"/>
      <c r="F27" s="37"/>
      <c r="G27" s="37"/>
      <c r="H27" s="36"/>
      <c r="I27" s="36"/>
      <c r="J27" s="36"/>
      <c r="K27" s="36"/>
      <c r="L27" s="36"/>
      <c r="M27" s="36"/>
    </row>
    <row r="28" spans="2:13">
      <c r="B28" s="36"/>
      <c r="C28" s="36"/>
      <c r="D28" s="36"/>
      <c r="E28" s="36"/>
      <c r="F28" s="37"/>
      <c r="G28" s="37"/>
      <c r="H28" s="36"/>
      <c r="I28" s="36"/>
      <c r="J28" s="36"/>
      <c r="K28" s="36"/>
      <c r="L28" s="36"/>
      <c r="M28" s="36"/>
    </row>
  </sheetData>
  <mergeCells count="8">
    <mergeCell ref="G17:H17"/>
    <mergeCell ref="G18:H18"/>
    <mergeCell ref="B13:B14"/>
    <mergeCell ref="E3:H3"/>
    <mergeCell ref="B12:D12"/>
    <mergeCell ref="C13:E13"/>
    <mergeCell ref="G15:H15"/>
    <mergeCell ref="G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Bài4</vt:lpstr>
      <vt:lpstr>Bài5</vt:lpstr>
      <vt:lpstr>Bài6</vt:lpstr>
      <vt:lpstr>Bài7</vt:lpstr>
      <vt:lpstr>Bài8</vt:lpstr>
      <vt:lpstr>Bài9</vt:lpstr>
      <vt:lpstr>Bài10</vt:lpstr>
      <vt:lpstr>Bài10!Criteria</vt:lpstr>
      <vt:lpstr>Bài5!Criteria</vt:lpstr>
      <vt:lpstr>Bài8!Criteria</vt:lpstr>
      <vt:lpstr>Bài9!Criteria</vt:lpstr>
      <vt:lpstr>Bài10!Extract</vt:lpstr>
      <vt:lpstr>Bài5!Extract</vt:lpstr>
      <vt:lpstr>Bài8!Extract</vt:lpstr>
      <vt:lpstr>Bài9!Extract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bienphongvnn</dc:creator>
  <cp:lastModifiedBy>User</cp:lastModifiedBy>
  <dcterms:created xsi:type="dcterms:W3CDTF">2021-12-07T02:43:00Z</dcterms:created>
  <dcterms:modified xsi:type="dcterms:W3CDTF">2021-12-12T15:04:25Z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4F7800CE456645E7AD3550A6527C1C12</vt:lpwstr>
  </property>
  <property fmtid="{D5CDD505-2E9C-101B-9397-08002B2CF9AE}" pid="3" name="KSOProductBuildVer">
    <vt:lpwstr>1033-11.2.0.10382</vt:lpwstr>
  </property>
</Properties>
</file>