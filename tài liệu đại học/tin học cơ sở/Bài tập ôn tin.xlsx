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iệu đại học\tin học cơ sở\"/>
    </mc:Choice>
  </mc:AlternateContent>
  <xr:revisionPtr revIDLastSave="0" documentId="13_ncr:1_{9DBC1159-FE49-4134-A883-FE14BE73B3AC}" xr6:coauthVersionLast="46" xr6:coauthVersionMax="46" xr10:uidLastSave="{00000000-0000-0000-0000-000000000000}"/>
  <bookViews>
    <workbookView xWindow="9765" yWindow="0" windowWidth="10905" windowHeight="5460" xr2:uid="{17DE7293-C74F-402F-A29E-9C74860654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6" i="1"/>
  <c r="G7" i="1"/>
  <c r="G8" i="1"/>
  <c r="G9" i="1"/>
  <c r="G10" i="1"/>
  <c r="G11" i="1"/>
  <c r="G12" i="1"/>
  <c r="G6" i="1"/>
</calcChain>
</file>

<file path=xl/sharedStrings.xml><?xml version="1.0" encoding="utf-8"?>
<sst xmlns="http://schemas.openxmlformats.org/spreadsheetml/2006/main" count="40" uniqueCount="21">
  <si>
    <t>STT</t>
  </si>
  <si>
    <t>Mã hàng</t>
  </si>
  <si>
    <t>Hình thức</t>
  </si>
  <si>
    <t>Ngày bán</t>
  </si>
  <si>
    <t xml:space="preserve">Số lượng </t>
  </si>
  <si>
    <t>Đơn giá</t>
  </si>
  <si>
    <t>Thuế</t>
  </si>
  <si>
    <t>Thành tiền</t>
  </si>
  <si>
    <t>Ghi chú</t>
  </si>
  <si>
    <t>24K</t>
  </si>
  <si>
    <t>10K</t>
  </si>
  <si>
    <t>18K</t>
  </si>
  <si>
    <t>14K</t>
  </si>
  <si>
    <t>SJC</t>
  </si>
  <si>
    <t>B</t>
  </si>
  <si>
    <t>M</t>
  </si>
  <si>
    <t>Bảng 1</t>
  </si>
  <si>
    <t>MUA</t>
  </si>
  <si>
    <t>BÁN</t>
  </si>
  <si>
    <t>Bảng thống kê Thành tiền</t>
  </si>
  <si>
    <t>TỶ GIÁ VÀNG MUA VÀO VÀ BÁN RA THÁNG 06 NĂM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</si>
</sst>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"/>
  </numFmts>
  <fonts count="3" x14ac:knownFonts="1"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853A-752D-469D-9F26-7B046D4A9067}">
  <dimension ref="B3:J21"/>
  <sheetViews>
    <sheetView tabSelected="1" topLeftCell="B2" workbookViewId="0">
      <selection activeCell="I14" sqref="I14"/>
    </sheetView>
  </sheetViews>
  <sheetFormatPr defaultRowHeight="15.75" x14ac:dyDescent="0.2"/>
  <cols>
    <col min="1" max="1" width="9" style="2"/>
    <col min="2" max="4" width="9.125" style="2" bestFit="1" customWidth="1"/>
    <col min="5" max="5" width="11.375" style="2" bestFit="1" customWidth="1"/>
    <col min="6" max="6" width="9.125" style="2" bestFit="1" customWidth="1"/>
    <col min="7" max="16384" width="9" style="2"/>
  </cols>
  <sheetData>
    <row r="3" spans="2:10" x14ac:dyDescent="0.2">
      <c r="B3" s="1" t="s">
        <v>20</v>
      </c>
      <c r="C3" s="1"/>
      <c r="D3" s="1"/>
      <c r="E3" s="1"/>
      <c r="F3" s="1"/>
      <c r="G3" s="1"/>
      <c r="H3" s="1"/>
      <c r="I3" s="1"/>
      <c r="J3" s="1"/>
    </row>
    <row r="5" spans="2:10" x14ac:dyDescent="0.2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</row>
    <row r="6" spans="2:10" x14ac:dyDescent="0.2">
      <c r="B6" s="4">
        <v>1</v>
      </c>
      <c r="C6" s="4" t="s">
        <v>9</v>
      </c>
      <c r="D6" s="4" t="s">
        <v>14</v>
      </c>
      <c r="E6" s="8">
        <v>42536</v>
      </c>
      <c r="F6" s="4">
        <v>20</v>
      </c>
      <c r="G6" s="4">
        <f>VLOOKUP(C6,$B$15:$D$21,IF(D6="M",2,3),0)</f>
        <v>3293000</v>
      </c>
      <c r="H6" s="4">
        <f>IF(AND(F6&gt;=15,E6&lt;="15"),5%,0)*F6*G6</f>
        <v>3293000</v>
      </c>
      <c r="I6" s="4"/>
      <c r="J6" s="4"/>
    </row>
    <row r="7" spans="2:10" x14ac:dyDescent="0.2">
      <c r="B7" s="4">
        <v>2</v>
      </c>
      <c r="C7" s="4" t="s">
        <v>10</v>
      </c>
      <c r="D7" s="4" t="s">
        <v>15</v>
      </c>
      <c r="E7" s="8">
        <v>42531</v>
      </c>
      <c r="F7" s="4">
        <v>16</v>
      </c>
      <c r="G7" s="4">
        <f t="shared" ref="G7:G12" si="0">VLOOKUP(C7,$B$15:$D$21,IF(D7="M",2,3),0)</f>
        <v>1248000</v>
      </c>
      <c r="H7" s="4">
        <f t="shared" ref="H7:H12" si="1">IF(AND(F7&gt;=15,E7&lt;="15"),5%,0)*F7*G7</f>
        <v>998400</v>
      </c>
      <c r="I7" s="4"/>
      <c r="J7" s="4"/>
    </row>
    <row r="8" spans="2:10" x14ac:dyDescent="0.2">
      <c r="B8" s="4">
        <v>3</v>
      </c>
      <c r="C8" s="4" t="s">
        <v>11</v>
      </c>
      <c r="D8" s="4" t="s">
        <v>14</v>
      </c>
      <c r="E8" s="8">
        <v>42523</v>
      </c>
      <c r="F8" s="4">
        <v>5</v>
      </c>
      <c r="G8" s="4">
        <f t="shared" si="0"/>
        <v>2485000</v>
      </c>
      <c r="H8" s="4">
        <f t="shared" si="1"/>
        <v>0</v>
      </c>
      <c r="I8" s="4"/>
      <c r="J8" s="4"/>
    </row>
    <row r="9" spans="2:10" x14ac:dyDescent="0.2">
      <c r="B9" s="4">
        <v>4</v>
      </c>
      <c r="C9" s="4" t="s">
        <v>12</v>
      </c>
      <c r="D9" s="4" t="s">
        <v>15</v>
      </c>
      <c r="E9" s="8">
        <v>42550</v>
      </c>
      <c r="F9" s="4">
        <v>8</v>
      </c>
      <c r="G9" s="4">
        <f t="shared" si="0"/>
        <v>1795000</v>
      </c>
      <c r="H9" s="4">
        <f t="shared" si="1"/>
        <v>0</v>
      </c>
      <c r="I9" s="4"/>
      <c r="J9" s="4"/>
    </row>
    <row r="10" spans="2:10" x14ac:dyDescent="0.2">
      <c r="B10" s="4">
        <v>5</v>
      </c>
      <c r="C10" s="4" t="s">
        <v>13</v>
      </c>
      <c r="D10" s="4" t="s">
        <v>14</v>
      </c>
      <c r="E10" s="8">
        <v>42538</v>
      </c>
      <c r="F10" s="4">
        <v>12</v>
      </c>
      <c r="G10" s="4">
        <f t="shared" si="0"/>
        <v>3293000</v>
      </c>
      <c r="H10" s="4">
        <f t="shared" si="1"/>
        <v>0</v>
      </c>
      <c r="I10" s="4"/>
      <c r="J10" s="4"/>
    </row>
    <row r="11" spans="2:10" x14ac:dyDescent="0.2">
      <c r="B11" s="4">
        <v>6</v>
      </c>
      <c r="C11" s="4" t="s">
        <v>9</v>
      </c>
      <c r="D11" s="4" t="s">
        <v>15</v>
      </c>
      <c r="E11" s="8">
        <v>42540</v>
      </c>
      <c r="F11" s="4">
        <v>21</v>
      </c>
      <c r="G11" s="4">
        <f t="shared" si="0"/>
        <v>3203000</v>
      </c>
      <c r="H11" s="4">
        <f t="shared" si="1"/>
        <v>3363150</v>
      </c>
      <c r="I11" s="4"/>
      <c r="J11" s="4"/>
    </row>
    <row r="12" spans="2:10" x14ac:dyDescent="0.2">
      <c r="B12" s="4">
        <v>7</v>
      </c>
      <c r="C12" s="4" t="s">
        <v>13</v>
      </c>
      <c r="D12" s="4" t="s">
        <v>15</v>
      </c>
      <c r="E12" s="8">
        <v>42545</v>
      </c>
      <c r="F12" s="4">
        <v>17</v>
      </c>
      <c r="G12" s="4">
        <f t="shared" si="0"/>
        <v>3253000</v>
      </c>
      <c r="H12" s="4">
        <f t="shared" si="1"/>
        <v>2765050.0000000005</v>
      </c>
      <c r="I12" s="4"/>
      <c r="J12" s="4"/>
    </row>
    <row r="14" spans="2:10" x14ac:dyDescent="0.2">
      <c r="B14" s="6" t="s">
        <v>16</v>
      </c>
      <c r="C14" s="6"/>
      <c r="F14" s="1" t="s">
        <v>19</v>
      </c>
      <c r="G14" s="1"/>
      <c r="H14" s="1"/>
    </row>
    <row r="15" spans="2:10" x14ac:dyDescent="0.2">
      <c r="B15" s="5" t="s">
        <v>1</v>
      </c>
      <c r="C15" s="5" t="s">
        <v>5</v>
      </c>
      <c r="D15" s="5"/>
      <c r="F15" s="3" t="s">
        <v>1</v>
      </c>
      <c r="G15" s="3" t="s">
        <v>17</v>
      </c>
      <c r="H15" s="3" t="s">
        <v>18</v>
      </c>
    </row>
    <row r="16" spans="2:10" x14ac:dyDescent="0.25">
      <c r="B16" s="5"/>
      <c r="C16" s="3" t="s">
        <v>17</v>
      </c>
      <c r="D16" s="3" t="s">
        <v>18</v>
      </c>
      <c r="F16" s="9" t="s">
        <v>9</v>
      </c>
      <c r="G16" s="4"/>
      <c r="H16" s="4"/>
    </row>
    <row r="17" spans="2:8" x14ac:dyDescent="0.25">
      <c r="B17" s="3" t="s">
        <v>10</v>
      </c>
      <c r="C17" s="7">
        <v>1248000</v>
      </c>
      <c r="D17" s="7">
        <v>1388000</v>
      </c>
      <c r="F17" s="9" t="s">
        <v>13</v>
      </c>
      <c r="G17" s="4"/>
      <c r="H17" s="4"/>
    </row>
    <row r="18" spans="2:8" x14ac:dyDescent="0.2">
      <c r="B18" s="3" t="s">
        <v>12</v>
      </c>
      <c r="C18" s="7">
        <v>1795000</v>
      </c>
      <c r="D18" s="7">
        <v>1935000</v>
      </c>
    </row>
    <row r="19" spans="2:8" x14ac:dyDescent="0.2">
      <c r="B19" s="3" t="s">
        <v>11</v>
      </c>
      <c r="C19" s="7">
        <v>2345000</v>
      </c>
      <c r="D19" s="7">
        <v>2485000</v>
      </c>
    </row>
    <row r="20" spans="2:8" x14ac:dyDescent="0.2">
      <c r="B20" s="3" t="s">
        <v>9</v>
      </c>
      <c r="C20" s="7">
        <v>3203000</v>
      </c>
      <c r="D20" s="7">
        <v>3293000</v>
      </c>
    </row>
    <row r="21" spans="2:8" x14ac:dyDescent="0.2">
      <c r="B21" s="3" t="s">
        <v>13</v>
      </c>
      <c r="C21" s="7">
        <v>3253000</v>
      </c>
      <c r="D21" s="7">
        <v>3293000</v>
      </c>
    </row>
  </sheetData>
  <mergeCells count="5">
    <mergeCell ref="B14:C14"/>
    <mergeCell ref="B15:B16"/>
    <mergeCell ref="C15:D15"/>
    <mergeCell ref="F14:H14"/>
    <mergeCell ref="B3: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2022-01-03T08:46:59Z</dcterms:created>
  <dcterms:modified xsi:type="dcterms:W3CDTF">2022-01-03T09:17:16Z</dcterms:modified>
</cp:coreProperties>
</file>